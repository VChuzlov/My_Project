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64330F3-6546-4560-B09C-CF1F0BE14A6C}" xr6:coauthVersionLast="37" xr6:coauthVersionMax="37" xr10:uidLastSave="{00000000-0000-0000-0000-000000000000}"/>
  <bookViews>
    <workbookView xWindow="0" yWindow="0" windowWidth="22260" windowHeight="12648" activeTab="1" xr2:uid="{00000000-000D-0000-FFFF-FFFF00000000}"/>
  </bookViews>
  <sheets>
    <sheet name="Лист1" sheetId="1" r:id="rId1"/>
    <sheet name="Лист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L2" i="2"/>
  <c r="M2" i="2"/>
  <c r="N2" i="2"/>
  <c r="O2" i="2"/>
  <c r="P2" i="2"/>
  <c r="Q2" i="2"/>
  <c r="L3" i="2"/>
  <c r="M3" i="2"/>
  <c r="N3" i="2"/>
  <c r="O3" i="2"/>
  <c r="P3" i="2"/>
  <c r="Q3" i="2"/>
  <c r="L4" i="2"/>
  <c r="M4" i="2"/>
  <c r="N4" i="2"/>
  <c r="O4" i="2"/>
  <c r="P4" i="2"/>
  <c r="Q4" i="2"/>
  <c r="L5" i="2"/>
  <c r="M5" i="2"/>
  <c r="N5" i="2"/>
  <c r="O5" i="2"/>
  <c r="P5" i="2"/>
  <c r="Q5" i="2"/>
  <c r="L6" i="2"/>
  <c r="M6" i="2"/>
  <c r="N6" i="2"/>
  <c r="O6" i="2"/>
  <c r="P6" i="2"/>
  <c r="Q6" i="2"/>
  <c r="L7" i="2"/>
  <c r="M7" i="2"/>
  <c r="N7" i="2"/>
  <c r="O7" i="2"/>
  <c r="P7" i="2"/>
  <c r="Q7" i="2"/>
  <c r="L8" i="2"/>
  <c r="M8" i="2"/>
  <c r="N8" i="2"/>
  <c r="O8" i="2"/>
  <c r="P8" i="2"/>
  <c r="Q8" i="2"/>
  <c r="L9" i="2"/>
  <c r="M9" i="2"/>
  <c r="N9" i="2"/>
  <c r="O9" i="2"/>
  <c r="P9" i="2"/>
  <c r="Q9" i="2"/>
  <c r="L10" i="2"/>
  <c r="M10" i="2"/>
  <c r="N10" i="2"/>
  <c r="O10" i="2"/>
  <c r="P10" i="2"/>
  <c r="Q10" i="2"/>
  <c r="L11" i="2"/>
  <c r="M11" i="2"/>
  <c r="N11" i="2"/>
  <c r="O11" i="2"/>
  <c r="P11" i="2"/>
  <c r="Q11" i="2"/>
  <c r="L12" i="2"/>
  <c r="M12" i="2"/>
  <c r="N12" i="2"/>
  <c r="O12" i="2"/>
  <c r="P12" i="2"/>
  <c r="Q12" i="2"/>
  <c r="L13" i="2"/>
  <c r="M13" i="2"/>
  <c r="N13" i="2"/>
  <c r="O13" i="2"/>
  <c r="P13" i="2"/>
  <c r="Q13" i="2"/>
  <c r="L14" i="2"/>
  <c r="M14" i="2"/>
  <c r="N14" i="2"/>
  <c r="O14" i="2"/>
  <c r="P14" i="2"/>
  <c r="Q14" i="2"/>
  <c r="L15" i="2"/>
  <c r="M15" i="2"/>
  <c r="N15" i="2"/>
  <c r="O15" i="2"/>
  <c r="P15" i="2"/>
  <c r="Q15" i="2"/>
  <c r="L16" i="2"/>
  <c r="M16" i="2"/>
  <c r="N16" i="2"/>
  <c r="O16" i="2"/>
  <c r="P16" i="2"/>
  <c r="Q16" i="2"/>
  <c r="L17" i="2"/>
  <c r="M17" i="2"/>
  <c r="N17" i="2"/>
  <c r="O17" i="2"/>
  <c r="P17" i="2"/>
  <c r="Q17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" i="2"/>
</calcChain>
</file>

<file path=xl/sharedStrings.xml><?xml version="1.0" encoding="utf-8"?>
<sst xmlns="http://schemas.openxmlformats.org/spreadsheetml/2006/main" count="627" uniqueCount="249">
  <si>
    <t>-1.99970006942749e-002</t>
  </si>
  <si>
    <t>3.59990000724792e-002</t>
  </si>
  <si>
    <t>5.00000007450581e-002</t>
  </si>
  <si>
    <t>7.99980014562607e-002</t>
  </si>
  <si>
    <t>9.49990004301071e-002</t>
  </si>
  <si>
    <t>9.00000035762787e-002</t>
  </si>
  <si>
    <t>0.100000001490116</t>
  </si>
  <si>
    <t>0.149000003933907</t>
  </si>
  <si>
    <t>-2.23799991607666</t>
  </si>
  <si>
    <t>-0.214100003242493</t>
  </si>
  <si>
    <t>0.129800006747246</t>
  </si>
  <si>
    <t>0.135000005364418</t>
  </si>
  <si>
    <t>0.125000000000000</t>
  </si>
  <si>
    <t>-0.557200014591217</t>
  </si>
  <si>
    <t>3.99990007281303e-002</t>
  </si>
  <si>
    <t>0.101000003516674</t>
  </si>
  <si>
    <t>2.24137306213379e-003</t>
  </si>
  <si>
    <t>6.82878494262695e-003</t>
  </si>
  <si>
    <t>1.31134390830994e-002</t>
  </si>
  <si>
    <t>1.23046040534973e-002</t>
  </si>
  <si>
    <t>0.017627477645874</t>
  </si>
  <si>
    <t>1.79253816604614e-002</t>
  </si>
  <si>
    <t>2.34740376472473e-002</t>
  </si>
  <si>
    <t>0.500000000000000</t>
  </si>
  <si>
    <t>-3.50000001490116e-002</t>
  </si>
  <si>
    <t>2.63989567756653e-002</t>
  </si>
  <si>
    <t>3.31320762634277e-002</t>
  </si>
  <si>
    <t>5.46744465827942e-002</t>
  </si>
  <si>
    <t>5.49260377883911e-002</t>
  </si>
  <si>
    <t>8.52891802787781e-002</t>
  </si>
  <si>
    <t>7.86592960357666e-002</t>
  </si>
  <si>
    <t>9.18952822685242e-002</t>
  </si>
  <si>
    <t>0.119476377964020</t>
  </si>
  <si>
    <t>0.019849419593811</t>
  </si>
  <si>
    <t>0.030252218246460</t>
  </si>
  <si>
    <t>4.82873320579529e-002</t>
  </si>
  <si>
    <t>6.11204504966736e-002</t>
  </si>
  <si>
    <t>1.25795602798462e-003</t>
  </si>
  <si>
    <t>4.57346439361572e-003</t>
  </si>
  <si>
    <t>4.09638881683350e-003</t>
  </si>
  <si>
    <t>7.41332769393921e-003</t>
  </si>
  <si>
    <t>7.60942697525024e-003</t>
  </si>
  <si>
    <t>1.14138126373291e-002</t>
  </si>
  <si>
    <t>4.50000017881393e-002</t>
  </si>
  <si>
    <t>1.35135650634766e-002</t>
  </si>
  <si>
    <t>1.85338258743286e-002</t>
  </si>
  <si>
    <t>3.57504487037659e-002</t>
  </si>
  <si>
    <t>3.59590649604797e-002</t>
  </si>
  <si>
    <t>0.061974048614502</t>
  </si>
  <si>
    <t>5.61718344688416e-002</t>
  </si>
  <si>
    <t>6.78104162216187e-002</t>
  </si>
  <si>
    <t>9.26712155342102e-002</t>
  </si>
  <si>
    <t>8.89801979064941e-003</t>
  </si>
  <si>
    <t>1.63582563400269e-002</t>
  </si>
  <si>
    <t>3.05047035217285e-002</t>
  </si>
  <si>
    <t>4.11370396614075e-002</t>
  </si>
  <si>
    <t>1.04051828384399e-003</t>
  </si>
  <si>
    <t>8.18967819213867e-004</t>
  </si>
  <si>
    <t>2.58338451385498e-003</t>
  </si>
  <si>
    <t>2.70050764083862e-003</t>
  </si>
  <si>
    <t>5.14197349548340e-003</t>
  </si>
  <si>
    <t>0.479999989271164</t>
  </si>
  <si>
    <t>5.99990002810955e-002</t>
  </si>
  <si>
    <t>6.59322738647461e-003</t>
  </si>
  <si>
    <t>1.02579593658447e-002</t>
  </si>
  <si>
    <t>2.39947438240051e-002</t>
  </si>
  <si>
    <t>2.41683125495911e-002</t>
  </si>
  <si>
    <t>4.65860366821289e-002</t>
  </si>
  <si>
    <t>4.14775609970093e-002</t>
  </si>
  <si>
    <t>5.17726540565491e-002</t>
  </si>
  <si>
    <t>7.42979645729065e-002</t>
  </si>
  <si>
    <t>3.49390506744385e-003</t>
  </si>
  <si>
    <t>8.64130258560181e-003</t>
  </si>
  <si>
    <t>1.96757316589355e-002</t>
  </si>
  <si>
    <t>2.85152196884155e-002</t>
  </si>
  <si>
    <t>1.33514404296875e-005</t>
  </si>
  <si>
    <t>3.46183776855469e-004</t>
  </si>
  <si>
    <t>3.90052795410156e-004</t>
  </si>
  <si>
    <t>1.56527757644653e-003</t>
  </si>
  <si>
    <t>6.89980015158653e-002</t>
  </si>
  <si>
    <t>2.41094827651978e-003</t>
  </si>
  <si>
    <t>4.80335950851440e-003</t>
  </si>
  <si>
    <t>1.52305960655212e-002</t>
  </si>
  <si>
    <t>1.53704881668091e-002</t>
  </si>
  <si>
    <t>0.034291684627533</t>
  </si>
  <si>
    <t>2.98642516136169e-002</t>
  </si>
  <si>
    <t>3.88372540473938e-002</t>
  </si>
  <si>
    <t>5.90282678604126e-002</t>
  </si>
  <si>
    <t>7.24434852600098e-004</t>
  </si>
  <si>
    <t>3.71235609054565e-003</t>
  </si>
  <si>
    <t>1.17993354797363e-002</t>
  </si>
  <si>
    <t>1.89170241355896e-002</t>
  </si>
  <si>
    <t>4.95135784149170e-004</t>
  </si>
  <si>
    <t>5.47230243682861e-004</t>
  </si>
  <si>
    <t>1.86634063720703e-003</t>
  </si>
  <si>
    <t>2.78091430664063e-003</t>
  </si>
  <si>
    <t>5.31852245330811e-003</t>
  </si>
  <si>
    <t>1.61255598068237e-002</t>
  </si>
  <si>
    <t>0.016269326210022</t>
  </si>
  <si>
    <t>3.55952382087708e-002</t>
  </si>
  <si>
    <t>3.10885310173035e-002</t>
  </si>
  <si>
    <t>4.02154922485352e-002</t>
  </si>
  <si>
    <t>6.06796741485596e-002</t>
  </si>
  <si>
    <t>9.33766365051270e-004</t>
  </si>
  <si>
    <t>4.16743755340576e-003</t>
  </si>
  <si>
    <t>1.25921368598938e-002</t>
  </si>
  <si>
    <t>0.019908070564270</t>
  </si>
  <si>
    <t>1.25169754028320e-006</t>
  </si>
  <si>
    <t>4.39941883087158e-004</t>
  </si>
  <si>
    <t>9.31978225708008e-004</t>
  </si>
  <si>
    <t>2.57861614227295e-003</t>
  </si>
  <si>
    <t>1.10472440719604e-002</t>
  </si>
  <si>
    <t>1.11671090126038e-002</t>
  </si>
  <si>
    <t>2.79856324195862e-002</t>
  </si>
  <si>
    <t>2.39706039428711e-002</t>
  </si>
  <si>
    <t>3.21415662765503e-002</t>
  </si>
  <si>
    <t>5.09008765220642e-002</t>
  </si>
  <si>
    <t>6.90817832946777e-005</t>
  </si>
  <si>
    <t>1.79612636566162e-003</t>
  </si>
  <si>
    <t>8.14414024353027e-003</t>
  </si>
  <si>
    <t>1.42353773117065e-002</t>
  </si>
  <si>
    <t>3.93450260162354e-004</t>
  </si>
  <si>
    <t>8.63611698150635e-004</t>
  </si>
  <si>
    <t>2.46435403823853e-003</t>
  </si>
  <si>
    <t>1.08116865158081e-002</t>
  </si>
  <si>
    <t>1.09302997589111e-002</t>
  </si>
  <si>
    <t>0.027617871761322</t>
  </si>
  <si>
    <t>2.36285328865051e-002</t>
  </si>
  <si>
    <t>0.031749427318573</t>
  </si>
  <si>
    <t>5.04189133644104e-002</t>
  </si>
  <si>
    <t>5.13792037963867e-005</t>
  </si>
  <si>
    <t>1.70087814331055e-003</t>
  </si>
  <si>
    <t>7.94124603271484e-003</t>
  </si>
  <si>
    <t>1.39687657356262e-002</t>
  </si>
  <si>
    <t>5.09990006685257e-002</t>
  </si>
  <si>
    <t>9.14335250854492e-005</t>
  </si>
  <si>
    <t>8.90731811523438e-004</t>
  </si>
  <si>
    <t>7.11709260940552e-003</t>
  </si>
  <si>
    <t>7.21383094787598e-003</t>
  </si>
  <si>
    <t>2.15958952903748e-002</t>
  </si>
  <si>
    <t>1.80613398551941e-002</t>
  </si>
  <si>
    <t>2.52966284751892e-002</t>
  </si>
  <si>
    <t>0.042371928691864</t>
  </si>
  <si>
    <t>1.60336494445801e-004</t>
  </si>
  <si>
    <t>4.59194183349609e-004</t>
  </si>
  <si>
    <t>4.82100248336792e-003</t>
  </si>
  <si>
    <t>9.73075628280640e-003</t>
  </si>
  <si>
    <t>-0.180000007152557</t>
  </si>
  <si>
    <t>0.000000000000000</t>
  </si>
  <si>
    <t>4.11748886108398e-004</t>
  </si>
  <si>
    <t>5.60659170150757e-003</t>
  </si>
  <si>
    <t>5.69266080856323e-003</t>
  </si>
  <si>
    <t>1.89434885978699e-002</t>
  </si>
  <si>
    <t>1.56329274177551e-002</t>
  </si>
  <si>
    <t>2.24316120147705e-002</t>
  </si>
  <si>
    <t>0.038716197013855</t>
  </si>
  <si>
    <t>4.93884086608887e-004</t>
  </si>
  <si>
    <t>1.40905380249023e-004</t>
  </si>
  <si>
    <t>3.59070301055908e-003</t>
  </si>
  <si>
    <t>7.95465707778931e-003</t>
  </si>
  <si>
    <t>2.99096107482910e-003</t>
  </si>
  <si>
    <t>3.05414199829102e-003</t>
  </si>
  <si>
    <t>1.38660073280334e-002</t>
  </si>
  <si>
    <t>1.10403299331665e-002</t>
  </si>
  <si>
    <t>1.68929100036621e-002</t>
  </si>
  <si>
    <t>3.14540266990662e-002</t>
  </si>
  <si>
    <t>1.80548429489136e-003</t>
  </si>
  <si>
    <t>7.09295272827148e-005</t>
  </si>
  <si>
    <t>1.57541036605835e-003</t>
  </si>
  <si>
    <t>4.76843118667603e-003</t>
  </si>
  <si>
    <t>2.98023223876953e-007</t>
  </si>
  <si>
    <t>4.04185056686401e-003</t>
  </si>
  <si>
    <t>2.57527828216553e-003</t>
  </si>
  <si>
    <t>5.76937198638916e-003</t>
  </si>
  <si>
    <t>1.54160857200623e-002</t>
  </si>
  <si>
    <t>9.38928127288818e-003</t>
  </si>
  <si>
    <t>3.97849082946777e-003</t>
  </si>
  <si>
    <t>2.26140022277832e-004</t>
  </si>
  <si>
    <t>2.08258628845215e-004</t>
  </si>
  <si>
    <t>3.96913290023804e-003</t>
  </si>
  <si>
    <t>2.51728296279907e-003</t>
  </si>
  <si>
    <t>5.68282604217529e-003</t>
  </si>
  <si>
    <t>1.52760744094849e-002</t>
  </si>
  <si>
    <t>9.50008630752563e-003</t>
  </si>
  <si>
    <t>4.05120849609375e-003</t>
  </si>
  <si>
    <t>2.43782997131348e-004</t>
  </si>
  <si>
    <t>1.91986560821533e-004</t>
  </si>
  <si>
    <t>1.65939331054688e-004</t>
  </si>
  <si>
    <t>1.55150890350342e-004</t>
  </si>
  <si>
    <t>3.74412536621094e-003</t>
  </si>
  <si>
    <t>0.025361180305481</t>
  </si>
  <si>
    <t>1.58811807632446e-002</t>
  </si>
  <si>
    <t>6.16550445556641e-003</t>
  </si>
  <si>
    <t>2.42060422897339e-003</t>
  </si>
  <si>
    <t>6.41584396362305e-004</t>
  </si>
  <si>
    <t>5.47534227371216e-003</t>
  </si>
  <si>
    <t>2.15346217155457e-002</t>
  </si>
  <si>
    <t>1.28527283668518e-002</t>
  </si>
  <si>
    <t>4.31966781616211e-003</t>
  </si>
  <si>
    <t>1.32119655609131e-003</t>
  </si>
  <si>
    <t>2.37935781478882e-003</t>
  </si>
  <si>
    <t>2.93385982513428e-002</t>
  </si>
  <si>
    <t>1.91010236740112e-002</t>
  </si>
  <si>
    <t>8.25661420822144e-003</t>
  </si>
  <si>
    <t>3.79562377929688e-003</t>
  </si>
  <si>
    <t>4.74392771720886e-002</t>
  </si>
  <si>
    <t>3.43844890594482e-002</t>
  </si>
  <si>
    <t>1.92869305610657e-002</t>
  </si>
  <si>
    <t>1.20945572853088e-002</t>
  </si>
  <si>
    <t>1.16163492202759e-003</t>
  </si>
  <si>
    <t>6.72543048858643e-003</t>
  </si>
  <si>
    <t>1.23513340950012e-002</t>
  </si>
  <si>
    <t>2.31301784515381e-003</t>
  </si>
  <si>
    <t>5.99378347396851e-003</t>
  </si>
  <si>
    <t>8.68022441864014e-004</t>
  </si>
  <si>
    <t>Nitrogen</t>
  </si>
  <si>
    <t>CO2</t>
  </si>
  <si>
    <t>Methane</t>
  </si>
  <si>
    <t>Ethane</t>
  </si>
  <si>
    <t>Propane</t>
  </si>
  <si>
    <t>i-Butane</t>
  </si>
  <si>
    <t>n-Butane</t>
  </si>
  <si>
    <t>i-Pentane</t>
  </si>
  <si>
    <t>n-Penatane</t>
  </si>
  <si>
    <t>n-Hexane</t>
  </si>
  <si>
    <t>H2O</t>
  </si>
  <si>
    <t>Methanol</t>
  </si>
  <si>
    <t>F2*</t>
  </si>
  <si>
    <t>F1*</t>
  </si>
  <si>
    <t>F3*</t>
  </si>
  <si>
    <t>F4*</t>
  </si>
  <si>
    <t>C5+*</t>
  </si>
  <si>
    <t>C7+*</t>
  </si>
  <si>
    <t>C11+*</t>
  </si>
  <si>
    <t>C12+*</t>
  </si>
  <si>
    <t>C19+*</t>
  </si>
  <si>
    <t>C21+*</t>
  </si>
  <si>
    <t>C31+*</t>
  </si>
  <si>
    <t>C36+*</t>
  </si>
  <si>
    <t>MW</t>
  </si>
  <si>
    <t>tb</t>
  </si>
  <si>
    <t>liq_den</t>
  </si>
  <si>
    <t>tc</t>
  </si>
  <si>
    <t>pc</t>
  </si>
  <si>
    <t>vc</t>
  </si>
  <si>
    <t>omega</t>
  </si>
  <si>
    <t>name</t>
  </si>
  <si>
    <t>,</t>
  </si>
  <si>
    <t>molar_volume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</si>
</sst>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workbookViewId="0">
      <selection activeCell="A2" sqref="A2:A13"/>
    </sheetView>
  </sheetViews>
  <sheetFormatPr defaultRowHeight="14.4" x14ac:dyDescent="0.3"/>
  <cols>
    <col min="1" max="1" width="10.33203125" bestFit="1" customWidth="1"/>
  </cols>
  <sheetData>
    <row r="1" spans="1:25" x14ac:dyDescent="0.3"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228</v>
      </c>
      <c r="W1" t="s">
        <v>227</v>
      </c>
      <c r="X1" t="s">
        <v>229</v>
      </c>
      <c r="Y1" t="s">
        <v>230</v>
      </c>
    </row>
    <row r="2" spans="1:25" x14ac:dyDescent="0.3">
      <c r="A2" t="s">
        <v>215</v>
      </c>
      <c r="B2" s="1">
        <v>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4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>
        <v>0.10000000149011599</v>
      </c>
    </row>
    <row r="3" spans="1:25" x14ac:dyDescent="0.3">
      <c r="A3" t="s">
        <v>216</v>
      </c>
      <c r="B3" s="1">
        <v>-1.9997000694274899E-2</v>
      </c>
      <c r="C3" s="1">
        <v>0</v>
      </c>
      <c r="D3" s="1" t="s">
        <v>6</v>
      </c>
      <c r="E3" s="1" t="s">
        <v>10</v>
      </c>
      <c r="F3" s="1" t="s">
        <v>11</v>
      </c>
      <c r="G3" s="1" t="s">
        <v>10</v>
      </c>
      <c r="H3" s="1" t="s">
        <v>10</v>
      </c>
      <c r="I3" s="1" t="s">
        <v>12</v>
      </c>
      <c r="J3" s="1" t="s">
        <v>12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1" t="s">
        <v>15</v>
      </c>
      <c r="X3" s="1" t="s">
        <v>15</v>
      </c>
      <c r="Y3" s="1">
        <v>0.101000003516674</v>
      </c>
    </row>
    <row r="4" spans="1:25" x14ac:dyDescent="0.3">
      <c r="A4" t="s">
        <v>217</v>
      </c>
      <c r="B4" s="1">
        <v>3.5999000072479199E-2</v>
      </c>
      <c r="C4" s="1" t="s">
        <v>6</v>
      </c>
      <c r="D4" s="1">
        <v>0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>
        <v>6.1120450496673598E-2</v>
      </c>
    </row>
    <row r="5" spans="1:25" x14ac:dyDescent="0.3">
      <c r="A5" t="s">
        <v>218</v>
      </c>
      <c r="B5" s="1">
        <v>5.0000000745058101E-2</v>
      </c>
      <c r="C5" s="1" t="s">
        <v>10</v>
      </c>
      <c r="D5" s="1" t="s">
        <v>16</v>
      </c>
      <c r="E5" s="1">
        <v>0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23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54</v>
      </c>
      <c r="Y5" s="1">
        <v>4.1137039661407498E-2</v>
      </c>
    </row>
    <row r="6" spans="1:25" x14ac:dyDescent="0.3">
      <c r="A6" t="s">
        <v>219</v>
      </c>
      <c r="B6" s="1">
        <v>7.9998001456260695E-2</v>
      </c>
      <c r="C6" s="1" t="s">
        <v>11</v>
      </c>
      <c r="D6" s="1" t="s">
        <v>17</v>
      </c>
      <c r="E6" s="1" t="s">
        <v>37</v>
      </c>
      <c r="F6" s="1">
        <v>0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63</v>
      </c>
      <c r="O6" s="1" t="s">
        <v>64</v>
      </c>
      <c r="P6" s="1" t="s">
        <v>65</v>
      </c>
      <c r="Q6" s="1" t="s">
        <v>66</v>
      </c>
      <c r="R6" s="1" t="s">
        <v>67</v>
      </c>
      <c r="S6" s="1" t="s">
        <v>68</v>
      </c>
      <c r="T6" s="1" t="s">
        <v>69</v>
      </c>
      <c r="U6" s="1" t="s">
        <v>70</v>
      </c>
      <c r="V6" s="1" t="s">
        <v>71</v>
      </c>
      <c r="W6" s="1" t="s">
        <v>72</v>
      </c>
      <c r="X6" s="1" t="s">
        <v>73</v>
      </c>
      <c r="Y6" s="1">
        <v>2.85152196884155E-2</v>
      </c>
    </row>
    <row r="7" spans="1:25" x14ac:dyDescent="0.3">
      <c r="A7" t="s">
        <v>220</v>
      </c>
      <c r="B7" s="1">
        <v>9.4999000430107103E-2</v>
      </c>
      <c r="C7" s="1" t="s">
        <v>10</v>
      </c>
      <c r="D7" s="1" t="s">
        <v>18</v>
      </c>
      <c r="E7" s="1" t="s">
        <v>38</v>
      </c>
      <c r="F7" s="1" t="s">
        <v>56</v>
      </c>
      <c r="G7" s="1">
        <v>0</v>
      </c>
      <c r="H7" s="1" t="s">
        <v>75</v>
      </c>
      <c r="I7" s="1" t="s">
        <v>76</v>
      </c>
      <c r="J7" s="1" t="s">
        <v>77</v>
      </c>
      <c r="K7" s="1" t="s">
        <v>78</v>
      </c>
      <c r="L7" s="1" t="s">
        <v>61</v>
      </c>
      <c r="M7" s="1" t="s">
        <v>79</v>
      </c>
      <c r="N7" s="1" t="s">
        <v>80</v>
      </c>
      <c r="O7" s="1" t="s">
        <v>81</v>
      </c>
      <c r="P7" s="1" t="s">
        <v>82</v>
      </c>
      <c r="Q7" s="1" t="s">
        <v>83</v>
      </c>
      <c r="R7" s="1" t="s">
        <v>84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89</v>
      </c>
      <c r="X7" s="1" t="s">
        <v>90</v>
      </c>
      <c r="Y7" s="1">
        <v>1.89170241355896E-2</v>
      </c>
    </row>
    <row r="8" spans="1:25" x14ac:dyDescent="0.3">
      <c r="A8" t="s">
        <v>221</v>
      </c>
      <c r="B8" s="1">
        <v>9.00000035762787E-2</v>
      </c>
      <c r="C8" s="1" t="s">
        <v>10</v>
      </c>
      <c r="D8" s="1" t="s">
        <v>19</v>
      </c>
      <c r="E8" s="1" t="s">
        <v>39</v>
      </c>
      <c r="F8" s="1" t="s">
        <v>57</v>
      </c>
      <c r="G8" s="1" t="s">
        <v>75</v>
      </c>
      <c r="H8" s="1">
        <v>0</v>
      </c>
      <c r="I8" s="1" t="s">
        <v>92</v>
      </c>
      <c r="J8" s="1" t="s">
        <v>93</v>
      </c>
      <c r="K8" s="1" t="s">
        <v>94</v>
      </c>
      <c r="L8" s="1" t="s">
        <v>61</v>
      </c>
      <c r="M8" s="1" t="s">
        <v>79</v>
      </c>
      <c r="N8" s="1" t="s">
        <v>95</v>
      </c>
      <c r="O8" s="1" t="s">
        <v>96</v>
      </c>
      <c r="P8" s="1" t="s">
        <v>97</v>
      </c>
      <c r="Q8" s="1" t="s">
        <v>98</v>
      </c>
      <c r="R8" s="1" t="s">
        <v>99</v>
      </c>
      <c r="S8" s="1" t="s">
        <v>100</v>
      </c>
      <c r="T8" s="1" t="s">
        <v>101</v>
      </c>
      <c r="U8" s="1" t="s">
        <v>102</v>
      </c>
      <c r="V8" s="1" t="s">
        <v>103</v>
      </c>
      <c r="W8" s="1" t="s">
        <v>104</v>
      </c>
      <c r="X8" s="1" t="s">
        <v>105</v>
      </c>
      <c r="Y8" s="1">
        <v>1.9908070564269999E-2</v>
      </c>
    </row>
    <row r="9" spans="1:25" x14ac:dyDescent="0.3">
      <c r="A9" t="s">
        <v>222</v>
      </c>
      <c r="B9" s="1">
        <v>9.4999000430107103E-2</v>
      </c>
      <c r="C9" s="1" t="s">
        <v>12</v>
      </c>
      <c r="D9" s="1" t="s">
        <v>20</v>
      </c>
      <c r="E9" s="1" t="s">
        <v>40</v>
      </c>
      <c r="F9" s="1" t="s">
        <v>58</v>
      </c>
      <c r="G9" s="1" t="s">
        <v>76</v>
      </c>
      <c r="H9" s="1" t="s">
        <v>92</v>
      </c>
      <c r="I9" s="1">
        <v>0</v>
      </c>
      <c r="J9" s="1" t="s">
        <v>107</v>
      </c>
      <c r="K9" s="1" t="s">
        <v>108</v>
      </c>
      <c r="L9" s="1" t="s">
        <v>61</v>
      </c>
      <c r="M9" s="1" t="s">
        <v>62</v>
      </c>
      <c r="N9" s="1" t="s">
        <v>109</v>
      </c>
      <c r="O9" s="1" t="s">
        <v>110</v>
      </c>
      <c r="P9" s="1" t="s">
        <v>111</v>
      </c>
      <c r="Q9" s="1" t="s">
        <v>112</v>
      </c>
      <c r="R9" s="1" t="s">
        <v>113</v>
      </c>
      <c r="S9" s="1" t="s">
        <v>114</v>
      </c>
      <c r="T9" s="1" t="s">
        <v>115</v>
      </c>
      <c r="U9" s="1" t="s">
        <v>116</v>
      </c>
      <c r="V9" s="1" t="s">
        <v>117</v>
      </c>
      <c r="W9" s="1" t="s">
        <v>118</v>
      </c>
      <c r="X9" s="1" t="s">
        <v>119</v>
      </c>
      <c r="Y9" s="1">
        <v>1.42353773117065E-2</v>
      </c>
    </row>
    <row r="10" spans="1:25" x14ac:dyDescent="0.3">
      <c r="A10" t="s">
        <v>223</v>
      </c>
      <c r="B10" s="1" t="s">
        <v>6</v>
      </c>
      <c r="C10" s="1" t="s">
        <v>12</v>
      </c>
      <c r="D10" s="1" t="s">
        <v>21</v>
      </c>
      <c r="E10" s="1" t="s">
        <v>41</v>
      </c>
      <c r="F10" s="1" t="s">
        <v>59</v>
      </c>
      <c r="G10" s="1" t="s">
        <v>77</v>
      </c>
      <c r="H10" s="1" t="s">
        <v>93</v>
      </c>
      <c r="I10" s="1" t="s">
        <v>107</v>
      </c>
      <c r="J10" s="1">
        <v>0</v>
      </c>
      <c r="K10" s="1" t="s">
        <v>121</v>
      </c>
      <c r="L10" s="1" t="s">
        <v>61</v>
      </c>
      <c r="M10" s="1" t="s">
        <v>62</v>
      </c>
      <c r="N10" s="1" t="s">
        <v>122</v>
      </c>
      <c r="O10" s="1" t="s">
        <v>123</v>
      </c>
      <c r="P10" s="1" t="s">
        <v>124</v>
      </c>
      <c r="Q10" s="1" t="s">
        <v>125</v>
      </c>
      <c r="R10" s="1" t="s">
        <v>126</v>
      </c>
      <c r="S10" s="1" t="s">
        <v>127</v>
      </c>
      <c r="T10" s="1" t="s">
        <v>128</v>
      </c>
      <c r="U10" s="1" t="s">
        <v>129</v>
      </c>
      <c r="V10" s="1" t="s">
        <v>130</v>
      </c>
      <c r="W10" s="1" t="s">
        <v>131</v>
      </c>
      <c r="X10" s="1" t="s">
        <v>132</v>
      </c>
      <c r="Y10" s="1">
        <v>1.39687657356262E-2</v>
      </c>
    </row>
    <row r="11" spans="1:25" x14ac:dyDescent="0.3">
      <c r="A11" t="s">
        <v>224</v>
      </c>
      <c r="B11" s="1" t="s">
        <v>7</v>
      </c>
      <c r="C11" s="1" t="s">
        <v>12</v>
      </c>
      <c r="D11" s="1" t="s">
        <v>22</v>
      </c>
      <c r="E11" s="1" t="s">
        <v>42</v>
      </c>
      <c r="F11" s="1" t="s">
        <v>60</v>
      </c>
      <c r="G11" s="1" t="s">
        <v>78</v>
      </c>
      <c r="H11" s="1" t="s">
        <v>94</v>
      </c>
      <c r="I11" s="1" t="s">
        <v>108</v>
      </c>
      <c r="J11" s="1" t="s">
        <v>121</v>
      </c>
      <c r="K11" s="1">
        <v>0</v>
      </c>
      <c r="L11" s="1" t="s">
        <v>61</v>
      </c>
      <c r="M11" s="1" t="s">
        <v>134</v>
      </c>
      <c r="N11" s="1" t="s">
        <v>135</v>
      </c>
      <c r="O11" s="1" t="s">
        <v>136</v>
      </c>
      <c r="P11" s="1" t="s">
        <v>137</v>
      </c>
      <c r="Q11" s="1" t="s">
        <v>138</v>
      </c>
      <c r="R11" s="1" t="s">
        <v>139</v>
      </c>
      <c r="S11" s="1" t="s">
        <v>140</v>
      </c>
      <c r="T11" s="1" t="s">
        <v>141</v>
      </c>
      <c r="U11" s="1" t="s">
        <v>142</v>
      </c>
      <c r="V11" s="1" t="s">
        <v>143</v>
      </c>
      <c r="W11" s="1" t="s">
        <v>144</v>
      </c>
      <c r="X11" s="1" t="s">
        <v>145</v>
      </c>
      <c r="Y11" s="1">
        <v>9.7307562828064E-3</v>
      </c>
    </row>
    <row r="12" spans="1:25" x14ac:dyDescent="0.3">
      <c r="A12" t="s">
        <v>225</v>
      </c>
      <c r="B12" s="1" t="s">
        <v>8</v>
      </c>
      <c r="C12" s="1" t="s">
        <v>13</v>
      </c>
      <c r="D12" s="1" t="s">
        <v>23</v>
      </c>
      <c r="E12" s="1" t="s">
        <v>23</v>
      </c>
      <c r="F12" s="1" t="s">
        <v>61</v>
      </c>
      <c r="G12" s="1" t="s">
        <v>61</v>
      </c>
      <c r="H12" s="1" t="s">
        <v>61</v>
      </c>
      <c r="I12" s="1" t="s">
        <v>61</v>
      </c>
      <c r="J12" s="1" t="s">
        <v>61</v>
      </c>
      <c r="K12" s="1" t="s">
        <v>61</v>
      </c>
      <c r="L12" s="1">
        <v>0</v>
      </c>
      <c r="M12" s="1" t="s">
        <v>147</v>
      </c>
      <c r="N12" s="1" t="s">
        <v>61</v>
      </c>
      <c r="O12" s="1" t="s">
        <v>61</v>
      </c>
      <c r="P12" s="1" t="s">
        <v>61</v>
      </c>
      <c r="Q12" s="1" t="s">
        <v>61</v>
      </c>
      <c r="R12" s="1" t="s">
        <v>61</v>
      </c>
      <c r="S12" s="1" t="s">
        <v>61</v>
      </c>
      <c r="T12" s="1" t="s">
        <v>61</v>
      </c>
      <c r="U12" s="1" t="s">
        <v>61</v>
      </c>
      <c r="V12" s="1" t="s">
        <v>61</v>
      </c>
      <c r="W12" s="1" t="s">
        <v>61</v>
      </c>
      <c r="X12" s="1" t="s">
        <v>61</v>
      </c>
      <c r="Y12" s="1">
        <v>0.479999989271164</v>
      </c>
    </row>
    <row r="13" spans="1:25" x14ac:dyDescent="0.3">
      <c r="A13" t="s">
        <v>226</v>
      </c>
      <c r="B13" s="1" t="s">
        <v>9</v>
      </c>
      <c r="C13" s="1" t="s">
        <v>14</v>
      </c>
      <c r="D13" s="1" t="s">
        <v>24</v>
      </c>
      <c r="E13" s="1" t="s">
        <v>43</v>
      </c>
      <c r="F13" s="1" t="s">
        <v>62</v>
      </c>
      <c r="G13" s="1" t="s">
        <v>79</v>
      </c>
      <c r="H13" s="1" t="s">
        <v>79</v>
      </c>
      <c r="I13" s="1" t="s">
        <v>62</v>
      </c>
      <c r="J13" s="1" t="s">
        <v>62</v>
      </c>
      <c r="K13" s="1" t="s">
        <v>134</v>
      </c>
      <c r="L13" s="1" t="s">
        <v>147</v>
      </c>
      <c r="M13" s="1">
        <v>0</v>
      </c>
      <c r="N13" s="1" t="s">
        <v>148</v>
      </c>
      <c r="O13" s="1" t="s">
        <v>148</v>
      </c>
      <c r="P13" s="1" t="s">
        <v>148</v>
      </c>
      <c r="Q13" s="1" t="s">
        <v>148</v>
      </c>
      <c r="R13" s="1" t="s">
        <v>148</v>
      </c>
      <c r="S13" s="1" t="s">
        <v>148</v>
      </c>
      <c r="T13" s="1" t="s">
        <v>148</v>
      </c>
      <c r="U13" s="1" t="s">
        <v>148</v>
      </c>
      <c r="V13" s="1" t="s">
        <v>148</v>
      </c>
      <c r="W13" s="1" t="s">
        <v>148</v>
      </c>
      <c r="X13" s="1" t="s">
        <v>148</v>
      </c>
      <c r="Y13" s="1">
        <v>0</v>
      </c>
    </row>
    <row r="14" spans="1:25" x14ac:dyDescent="0.3">
      <c r="A14" t="s">
        <v>231</v>
      </c>
      <c r="B14" s="1" t="s">
        <v>6</v>
      </c>
      <c r="C14" s="1" t="s">
        <v>15</v>
      </c>
      <c r="D14" s="1" t="s">
        <v>25</v>
      </c>
      <c r="E14" s="1" t="s">
        <v>44</v>
      </c>
      <c r="F14" s="1" t="s">
        <v>63</v>
      </c>
      <c r="G14" s="1" t="s">
        <v>80</v>
      </c>
      <c r="H14" s="1" t="s">
        <v>95</v>
      </c>
      <c r="I14" s="1" t="s">
        <v>109</v>
      </c>
      <c r="J14" s="1" t="s">
        <v>122</v>
      </c>
      <c r="K14" s="1" t="s">
        <v>135</v>
      </c>
      <c r="L14" s="1" t="s">
        <v>61</v>
      </c>
      <c r="M14" s="1" t="s">
        <v>148</v>
      </c>
      <c r="N14" s="1">
        <v>0</v>
      </c>
      <c r="O14" s="1" t="s">
        <v>149</v>
      </c>
      <c r="P14" s="1" t="s">
        <v>150</v>
      </c>
      <c r="Q14" s="1" t="s">
        <v>151</v>
      </c>
      <c r="R14" s="1" t="s">
        <v>152</v>
      </c>
      <c r="S14" s="1" t="s">
        <v>153</v>
      </c>
      <c r="T14" s="1" t="s">
        <v>154</v>
      </c>
      <c r="U14" s="1" t="s">
        <v>155</v>
      </c>
      <c r="V14" s="1" t="s">
        <v>156</v>
      </c>
      <c r="W14" s="1" t="s">
        <v>157</v>
      </c>
      <c r="X14" s="1" t="s">
        <v>158</v>
      </c>
      <c r="Y14" s="1">
        <v>7.9546570777893101E-3</v>
      </c>
    </row>
    <row r="15" spans="1:25" x14ac:dyDescent="0.3">
      <c r="A15" t="s">
        <v>232</v>
      </c>
      <c r="B15" s="1" t="s">
        <v>6</v>
      </c>
      <c r="C15" s="1" t="s">
        <v>15</v>
      </c>
      <c r="D15" s="1" t="s">
        <v>26</v>
      </c>
      <c r="E15" s="1" t="s">
        <v>45</v>
      </c>
      <c r="F15" s="1" t="s">
        <v>64</v>
      </c>
      <c r="G15" s="1" t="s">
        <v>81</v>
      </c>
      <c r="H15" s="1" t="s">
        <v>96</v>
      </c>
      <c r="I15" s="1" t="s">
        <v>110</v>
      </c>
      <c r="J15" s="1" t="s">
        <v>123</v>
      </c>
      <c r="K15" s="1" t="s">
        <v>136</v>
      </c>
      <c r="L15" s="1" t="s">
        <v>61</v>
      </c>
      <c r="M15" s="1" t="s">
        <v>148</v>
      </c>
      <c r="N15" s="1" t="s">
        <v>149</v>
      </c>
      <c r="O15" s="1">
        <v>0</v>
      </c>
      <c r="P15" s="1" t="s">
        <v>160</v>
      </c>
      <c r="Q15" s="1" t="s">
        <v>161</v>
      </c>
      <c r="R15" s="1" t="s">
        <v>162</v>
      </c>
      <c r="S15" s="1" t="s">
        <v>163</v>
      </c>
      <c r="T15" s="1" t="s">
        <v>164</v>
      </c>
      <c r="U15" s="1" t="s">
        <v>165</v>
      </c>
      <c r="V15" s="1" t="s">
        <v>166</v>
      </c>
      <c r="W15" s="1" t="s">
        <v>167</v>
      </c>
      <c r="X15" s="1" t="s">
        <v>168</v>
      </c>
      <c r="Y15" s="1">
        <v>4.7684311866760297E-3</v>
      </c>
    </row>
    <row r="16" spans="1:25" x14ac:dyDescent="0.3">
      <c r="A16" t="s">
        <v>233</v>
      </c>
      <c r="B16" s="1" t="s">
        <v>6</v>
      </c>
      <c r="C16" s="1" t="s">
        <v>15</v>
      </c>
      <c r="D16" s="1" t="s">
        <v>27</v>
      </c>
      <c r="E16" s="1" t="s">
        <v>46</v>
      </c>
      <c r="F16" s="1" t="s">
        <v>65</v>
      </c>
      <c r="G16" s="1" t="s">
        <v>82</v>
      </c>
      <c r="H16" s="1" t="s">
        <v>97</v>
      </c>
      <c r="I16" s="1" t="s">
        <v>111</v>
      </c>
      <c r="J16" s="1" t="s">
        <v>124</v>
      </c>
      <c r="K16" s="1" t="s">
        <v>137</v>
      </c>
      <c r="L16" s="1" t="s">
        <v>61</v>
      </c>
      <c r="M16" s="1" t="s">
        <v>148</v>
      </c>
      <c r="N16" s="1" t="s">
        <v>150</v>
      </c>
      <c r="O16" s="1" t="s">
        <v>160</v>
      </c>
      <c r="P16" s="1">
        <v>0</v>
      </c>
      <c r="Q16" s="1" t="s">
        <v>170</v>
      </c>
      <c r="R16" s="1" t="s">
        <v>171</v>
      </c>
      <c r="S16" s="1" t="s">
        <v>172</v>
      </c>
      <c r="T16" s="1" t="s">
        <v>173</v>
      </c>
      <c r="U16" s="1" t="s">
        <v>174</v>
      </c>
      <c r="V16" s="1" t="s">
        <v>175</v>
      </c>
      <c r="W16" s="1" t="s">
        <v>176</v>
      </c>
      <c r="X16" s="1" t="s">
        <v>177</v>
      </c>
      <c r="Y16" s="1">
        <v>2.0825862884521501E-4</v>
      </c>
    </row>
    <row r="17" spans="1:25" x14ac:dyDescent="0.3">
      <c r="A17" t="s">
        <v>234</v>
      </c>
      <c r="B17" s="1" t="s">
        <v>6</v>
      </c>
      <c r="C17" s="1" t="s">
        <v>15</v>
      </c>
      <c r="D17" s="1" t="s">
        <v>28</v>
      </c>
      <c r="E17" s="1" t="s">
        <v>47</v>
      </c>
      <c r="F17" s="1" t="s">
        <v>66</v>
      </c>
      <c r="G17" s="1" t="s">
        <v>83</v>
      </c>
      <c r="H17" s="1" t="s">
        <v>98</v>
      </c>
      <c r="I17" s="1" t="s">
        <v>112</v>
      </c>
      <c r="J17" s="1" t="s">
        <v>125</v>
      </c>
      <c r="K17" s="1" t="s">
        <v>138</v>
      </c>
      <c r="L17" s="1" t="s">
        <v>61</v>
      </c>
      <c r="M17" s="1" t="s">
        <v>148</v>
      </c>
      <c r="N17" s="1" t="s">
        <v>151</v>
      </c>
      <c r="O17" s="1" t="s">
        <v>161</v>
      </c>
      <c r="P17" s="1" t="s">
        <v>170</v>
      </c>
      <c r="Q17" s="1">
        <v>0</v>
      </c>
      <c r="R17" s="1" t="s">
        <v>179</v>
      </c>
      <c r="S17" s="1" t="s">
        <v>180</v>
      </c>
      <c r="T17" s="1" t="s">
        <v>181</v>
      </c>
      <c r="U17" s="1" t="s">
        <v>182</v>
      </c>
      <c r="V17" s="1" t="s">
        <v>183</v>
      </c>
      <c r="W17" s="1" t="s">
        <v>184</v>
      </c>
      <c r="X17" s="1" t="s">
        <v>185</v>
      </c>
      <c r="Y17" s="1">
        <v>1.9198656082153301E-4</v>
      </c>
    </row>
    <row r="18" spans="1:25" x14ac:dyDescent="0.3">
      <c r="A18" t="s">
        <v>235</v>
      </c>
      <c r="B18" s="1" t="s">
        <v>6</v>
      </c>
      <c r="C18" s="1" t="s">
        <v>15</v>
      </c>
      <c r="D18" s="1" t="s">
        <v>29</v>
      </c>
      <c r="E18" s="1" t="s">
        <v>48</v>
      </c>
      <c r="F18" s="1" t="s">
        <v>67</v>
      </c>
      <c r="G18" s="1" t="s">
        <v>84</v>
      </c>
      <c r="H18" s="1" t="s">
        <v>99</v>
      </c>
      <c r="I18" s="1" t="s">
        <v>113</v>
      </c>
      <c r="J18" s="1" t="s">
        <v>126</v>
      </c>
      <c r="K18" s="1" t="s">
        <v>139</v>
      </c>
      <c r="L18" s="1" t="s">
        <v>61</v>
      </c>
      <c r="M18" s="1" t="s">
        <v>148</v>
      </c>
      <c r="N18" s="1" t="s">
        <v>152</v>
      </c>
      <c r="O18" s="1" t="s">
        <v>162</v>
      </c>
      <c r="P18" s="1" t="s">
        <v>171</v>
      </c>
      <c r="Q18" s="1" t="s">
        <v>179</v>
      </c>
      <c r="R18" s="1">
        <v>0</v>
      </c>
      <c r="S18" s="1" t="s">
        <v>187</v>
      </c>
      <c r="T18" s="1" t="s">
        <v>188</v>
      </c>
      <c r="U18" s="1" t="s">
        <v>189</v>
      </c>
      <c r="V18" s="1" t="s">
        <v>190</v>
      </c>
      <c r="W18" s="1" t="s">
        <v>191</v>
      </c>
      <c r="X18" s="1" t="s">
        <v>192</v>
      </c>
      <c r="Y18" s="1">
        <v>2.42060422897339E-3</v>
      </c>
    </row>
    <row r="19" spans="1:25" x14ac:dyDescent="0.3">
      <c r="A19" t="s">
        <v>236</v>
      </c>
      <c r="B19" s="1" t="s">
        <v>6</v>
      </c>
      <c r="C19" s="1" t="s">
        <v>15</v>
      </c>
      <c r="D19" s="1" t="s">
        <v>30</v>
      </c>
      <c r="E19" s="1" t="s">
        <v>49</v>
      </c>
      <c r="F19" s="1" t="s">
        <v>68</v>
      </c>
      <c r="G19" s="1" t="s">
        <v>85</v>
      </c>
      <c r="H19" s="1" t="s">
        <v>100</v>
      </c>
      <c r="I19" s="1" t="s">
        <v>114</v>
      </c>
      <c r="J19" s="1" t="s">
        <v>127</v>
      </c>
      <c r="K19" s="1" t="s">
        <v>140</v>
      </c>
      <c r="L19" s="1" t="s">
        <v>61</v>
      </c>
      <c r="M19" s="1" t="s">
        <v>148</v>
      </c>
      <c r="N19" s="1" t="s">
        <v>153</v>
      </c>
      <c r="O19" s="1" t="s">
        <v>163</v>
      </c>
      <c r="P19" s="1" t="s">
        <v>172</v>
      </c>
      <c r="Q19" s="1" t="s">
        <v>180</v>
      </c>
      <c r="R19" s="1" t="s">
        <v>187</v>
      </c>
      <c r="S19" s="1">
        <v>0</v>
      </c>
      <c r="T19" s="1" t="s">
        <v>194</v>
      </c>
      <c r="U19" s="1" t="s">
        <v>195</v>
      </c>
      <c r="V19" s="1" t="s">
        <v>196</v>
      </c>
      <c r="W19" s="1" t="s">
        <v>197</v>
      </c>
      <c r="X19" s="1" t="s">
        <v>198</v>
      </c>
      <c r="Y19" s="1">
        <v>1.3211965560913099E-3</v>
      </c>
    </row>
    <row r="20" spans="1:25" x14ac:dyDescent="0.3">
      <c r="A20" t="s">
        <v>237</v>
      </c>
      <c r="B20" s="1" t="s">
        <v>6</v>
      </c>
      <c r="C20" s="1" t="s">
        <v>15</v>
      </c>
      <c r="D20" s="1" t="s">
        <v>31</v>
      </c>
      <c r="E20" s="1" t="s">
        <v>50</v>
      </c>
      <c r="F20" s="1" t="s">
        <v>69</v>
      </c>
      <c r="G20" s="1" t="s">
        <v>86</v>
      </c>
      <c r="H20" s="1" t="s">
        <v>101</v>
      </c>
      <c r="I20" s="1" t="s">
        <v>115</v>
      </c>
      <c r="J20" s="1" t="s">
        <v>128</v>
      </c>
      <c r="K20" s="1" t="s">
        <v>141</v>
      </c>
      <c r="L20" s="1" t="s">
        <v>61</v>
      </c>
      <c r="M20" s="1" t="s">
        <v>148</v>
      </c>
      <c r="N20" s="1" t="s">
        <v>154</v>
      </c>
      <c r="O20" s="1" t="s">
        <v>164</v>
      </c>
      <c r="P20" s="1" t="s">
        <v>173</v>
      </c>
      <c r="Q20" s="1" t="s">
        <v>181</v>
      </c>
      <c r="R20" s="1" t="s">
        <v>188</v>
      </c>
      <c r="S20" s="1" t="s">
        <v>194</v>
      </c>
      <c r="T20" s="1">
        <v>0</v>
      </c>
      <c r="U20" s="1" t="s">
        <v>200</v>
      </c>
      <c r="V20" s="1" t="s">
        <v>201</v>
      </c>
      <c r="W20" s="1" t="s">
        <v>202</v>
      </c>
      <c r="X20" s="1" t="s">
        <v>203</v>
      </c>
      <c r="Y20" s="1">
        <v>3.7956237792968802E-3</v>
      </c>
    </row>
    <row r="21" spans="1:25" x14ac:dyDescent="0.3">
      <c r="A21" t="s">
        <v>238</v>
      </c>
      <c r="B21" s="1" t="s">
        <v>6</v>
      </c>
      <c r="C21" s="1" t="s">
        <v>15</v>
      </c>
      <c r="D21" s="1" t="s">
        <v>32</v>
      </c>
      <c r="E21" s="1" t="s">
        <v>51</v>
      </c>
      <c r="F21" s="1" t="s">
        <v>70</v>
      </c>
      <c r="G21" s="1" t="s">
        <v>87</v>
      </c>
      <c r="H21" s="1" t="s">
        <v>102</v>
      </c>
      <c r="I21" s="1" t="s">
        <v>116</v>
      </c>
      <c r="J21" s="1" t="s">
        <v>129</v>
      </c>
      <c r="K21" s="1" t="s">
        <v>142</v>
      </c>
      <c r="L21" s="1" t="s">
        <v>61</v>
      </c>
      <c r="M21" s="1" t="s">
        <v>148</v>
      </c>
      <c r="N21" s="1" t="s">
        <v>155</v>
      </c>
      <c r="O21" s="1" t="s">
        <v>165</v>
      </c>
      <c r="P21" s="1" t="s">
        <v>174</v>
      </c>
      <c r="Q21" s="1" t="s">
        <v>182</v>
      </c>
      <c r="R21" s="1" t="s">
        <v>189</v>
      </c>
      <c r="S21" s="1" t="s">
        <v>195</v>
      </c>
      <c r="T21" s="1" t="s">
        <v>200</v>
      </c>
      <c r="U21" s="1">
        <v>0</v>
      </c>
      <c r="V21" s="1" t="s">
        <v>205</v>
      </c>
      <c r="W21" s="1" t="s">
        <v>206</v>
      </c>
      <c r="X21" s="1" t="s">
        <v>207</v>
      </c>
      <c r="Y21" s="1">
        <v>1.20945572853088E-2</v>
      </c>
    </row>
    <row r="22" spans="1:25" x14ac:dyDescent="0.3">
      <c r="A22" t="s">
        <v>228</v>
      </c>
      <c r="B22" s="1" t="s">
        <v>6</v>
      </c>
      <c r="C22" s="1" t="s">
        <v>15</v>
      </c>
      <c r="D22" s="1" t="s">
        <v>33</v>
      </c>
      <c r="E22" s="1" t="s">
        <v>52</v>
      </c>
      <c r="F22" s="1" t="s">
        <v>71</v>
      </c>
      <c r="G22" s="1" t="s">
        <v>88</v>
      </c>
      <c r="H22" s="1" t="s">
        <v>103</v>
      </c>
      <c r="I22" s="1" t="s">
        <v>117</v>
      </c>
      <c r="J22" s="1" t="s">
        <v>130</v>
      </c>
      <c r="K22" s="1" t="s">
        <v>143</v>
      </c>
      <c r="L22" s="1" t="s">
        <v>61</v>
      </c>
      <c r="M22" s="1" t="s">
        <v>148</v>
      </c>
      <c r="N22" s="1" t="s">
        <v>156</v>
      </c>
      <c r="O22" s="1" t="s">
        <v>166</v>
      </c>
      <c r="P22" s="1" t="s">
        <v>175</v>
      </c>
      <c r="Q22" s="1" t="s">
        <v>183</v>
      </c>
      <c r="R22" s="1" t="s">
        <v>190</v>
      </c>
      <c r="S22" s="1" t="s">
        <v>196</v>
      </c>
      <c r="T22" s="1" t="s">
        <v>201</v>
      </c>
      <c r="U22" s="1" t="s">
        <v>205</v>
      </c>
      <c r="V22" s="1">
        <v>0</v>
      </c>
      <c r="W22" s="1" t="s">
        <v>209</v>
      </c>
      <c r="X22" s="1" t="s">
        <v>210</v>
      </c>
      <c r="Y22" s="1">
        <v>1.23513340950012E-2</v>
      </c>
    </row>
    <row r="23" spans="1:25" x14ac:dyDescent="0.3">
      <c r="A23" t="s">
        <v>227</v>
      </c>
      <c r="B23" s="1" t="s">
        <v>6</v>
      </c>
      <c r="C23" s="1" t="s">
        <v>15</v>
      </c>
      <c r="D23" s="1" t="s">
        <v>34</v>
      </c>
      <c r="E23" s="1" t="s">
        <v>53</v>
      </c>
      <c r="F23" s="1" t="s">
        <v>72</v>
      </c>
      <c r="G23" s="1" t="s">
        <v>89</v>
      </c>
      <c r="H23" s="1" t="s">
        <v>104</v>
      </c>
      <c r="I23" s="1" t="s">
        <v>118</v>
      </c>
      <c r="J23" s="1" t="s">
        <v>131</v>
      </c>
      <c r="K23" s="1" t="s">
        <v>144</v>
      </c>
      <c r="L23" s="1" t="s">
        <v>61</v>
      </c>
      <c r="M23" s="1" t="s">
        <v>148</v>
      </c>
      <c r="N23" s="1" t="s">
        <v>157</v>
      </c>
      <c r="O23" s="1" t="s">
        <v>167</v>
      </c>
      <c r="P23" s="1" t="s">
        <v>176</v>
      </c>
      <c r="Q23" s="1" t="s">
        <v>184</v>
      </c>
      <c r="R23" s="1" t="s">
        <v>191</v>
      </c>
      <c r="S23" s="1" t="s">
        <v>197</v>
      </c>
      <c r="T23" s="1" t="s">
        <v>202</v>
      </c>
      <c r="U23" s="1" t="s">
        <v>206</v>
      </c>
      <c r="V23" s="1" t="s">
        <v>209</v>
      </c>
      <c r="W23" s="1">
        <v>0</v>
      </c>
      <c r="X23" s="1" t="s">
        <v>212</v>
      </c>
      <c r="Y23" s="1">
        <v>5.9937834739685102E-3</v>
      </c>
    </row>
    <row r="24" spans="1:25" x14ac:dyDescent="0.3">
      <c r="A24" t="s">
        <v>229</v>
      </c>
      <c r="B24" s="1" t="s">
        <v>6</v>
      </c>
      <c r="C24" s="1" t="s">
        <v>15</v>
      </c>
      <c r="D24" s="1" t="s">
        <v>35</v>
      </c>
      <c r="E24" s="1" t="s">
        <v>54</v>
      </c>
      <c r="F24" s="1" t="s">
        <v>73</v>
      </c>
      <c r="G24" s="1" t="s">
        <v>90</v>
      </c>
      <c r="H24" s="1" t="s">
        <v>105</v>
      </c>
      <c r="I24" s="1" t="s">
        <v>119</v>
      </c>
      <c r="J24" s="1" t="s">
        <v>132</v>
      </c>
      <c r="K24" s="1" t="s">
        <v>145</v>
      </c>
      <c r="L24" s="1" t="s">
        <v>61</v>
      </c>
      <c r="M24" s="1" t="s">
        <v>148</v>
      </c>
      <c r="N24" s="1" t="s">
        <v>158</v>
      </c>
      <c r="O24" s="1" t="s">
        <v>168</v>
      </c>
      <c r="P24" s="1" t="s">
        <v>177</v>
      </c>
      <c r="Q24" s="1" t="s">
        <v>185</v>
      </c>
      <c r="R24" s="1" t="s">
        <v>192</v>
      </c>
      <c r="S24" s="1" t="s">
        <v>198</v>
      </c>
      <c r="T24" s="1" t="s">
        <v>203</v>
      </c>
      <c r="U24" s="1" t="s">
        <v>207</v>
      </c>
      <c r="V24" s="1" t="s">
        <v>210</v>
      </c>
      <c r="W24" s="1" t="s">
        <v>212</v>
      </c>
      <c r="X24" s="1">
        <v>0</v>
      </c>
      <c r="Y24" s="1">
        <v>8.68022441864014E-4</v>
      </c>
    </row>
    <row r="25" spans="1:25" x14ac:dyDescent="0.3">
      <c r="A25" t="s">
        <v>230</v>
      </c>
      <c r="B25" s="1" t="s">
        <v>6</v>
      </c>
      <c r="C25" s="1" t="s">
        <v>15</v>
      </c>
      <c r="D25" s="1" t="s">
        <v>36</v>
      </c>
      <c r="E25" s="1" t="s">
        <v>55</v>
      </c>
      <c r="F25" s="1" t="s">
        <v>74</v>
      </c>
      <c r="G25" s="1" t="s">
        <v>91</v>
      </c>
      <c r="H25" s="1" t="s">
        <v>106</v>
      </c>
      <c r="I25" s="1" t="s">
        <v>120</v>
      </c>
      <c r="J25" s="1" t="s">
        <v>133</v>
      </c>
      <c r="K25" s="1" t="s">
        <v>146</v>
      </c>
      <c r="L25" s="1" t="s">
        <v>61</v>
      </c>
      <c r="M25" s="1" t="s">
        <v>148</v>
      </c>
      <c r="N25" s="1" t="s">
        <v>159</v>
      </c>
      <c r="O25" s="1" t="s">
        <v>169</v>
      </c>
      <c r="P25" s="1" t="s">
        <v>178</v>
      </c>
      <c r="Q25" s="1" t="s">
        <v>186</v>
      </c>
      <c r="R25" s="1" t="s">
        <v>193</v>
      </c>
      <c r="S25" s="1" t="s">
        <v>199</v>
      </c>
      <c r="T25" s="1" t="s">
        <v>204</v>
      </c>
      <c r="U25" s="1" t="s">
        <v>208</v>
      </c>
      <c r="V25" s="1" t="s">
        <v>211</v>
      </c>
      <c r="W25" s="1" t="s">
        <v>213</v>
      </c>
      <c r="X25" s="1" t="s">
        <v>214</v>
      </c>
      <c r="Y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7BE0-7EB9-4CC3-9F3B-54AD98800525}">
  <dimension ref="A1:R25"/>
  <sheetViews>
    <sheetView tabSelected="1" workbookViewId="0">
      <selection activeCell="R2" sqref="R2:R25"/>
    </sheetView>
  </sheetViews>
  <sheetFormatPr defaultRowHeight="14.4" x14ac:dyDescent="0.3"/>
  <cols>
    <col min="1" max="1" width="10.33203125" bestFit="1" customWidth="1"/>
    <col min="9" max="9" width="12.77734375" bestFit="1" customWidth="1"/>
  </cols>
  <sheetData>
    <row r="1" spans="1:18" x14ac:dyDescent="0.3">
      <c r="A1" t="s">
        <v>246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248</v>
      </c>
    </row>
    <row r="2" spans="1:18" x14ac:dyDescent="0.3">
      <c r="A2" t="s">
        <v>215</v>
      </c>
      <c r="B2">
        <v>28.0130004882813</v>
      </c>
      <c r="C2">
        <v>-195.80019989013701</v>
      </c>
      <c r="D2">
        <v>806.3740234375</v>
      </c>
      <c r="E2">
        <v>-146.95599975585901</v>
      </c>
      <c r="F2">
        <v>3394.3701171875</v>
      </c>
      <c r="G2">
        <v>9.00000035762787E-2</v>
      </c>
      <c r="H2">
        <v>3.9999801665544503E-2</v>
      </c>
      <c r="I2" s="3">
        <v>5.1999999999999998E-2</v>
      </c>
      <c r="J2" t="s">
        <v>247</v>
      </c>
      <c r="K2" t="str">
        <f>_xlfn.CONCAT(B2,$J$2)</f>
        <v>28.0130004882813,</v>
      </c>
      <c r="L2" t="str">
        <f>_xlfn.CONCAT(C2,$J$2)</f>
        <v>-195.800199890137,</v>
      </c>
      <c r="M2" t="str">
        <f>_xlfn.CONCAT(D2,$J$2)</f>
        <v>806.3740234375,</v>
      </c>
      <c r="N2" t="str">
        <f>_xlfn.CONCAT(E2,$J$2)</f>
        <v>-146.955999755859,</v>
      </c>
      <c r="O2" t="str">
        <f>_xlfn.CONCAT(F2,$J$2)</f>
        <v>3394.3701171875,</v>
      </c>
      <c r="P2" t="str">
        <f>_xlfn.CONCAT(G2,$J$2)</f>
        <v>0.0900000035762787,</v>
      </c>
      <c r="Q2" t="str">
        <f>_xlfn.CONCAT(H2,$J$2)</f>
        <v>0.0399998016655445,</v>
      </c>
      <c r="R2" t="str">
        <f>_xlfn.CONCAT(I2,$J$2)</f>
        <v>0.052,</v>
      </c>
    </row>
    <row r="3" spans="1:18" x14ac:dyDescent="0.3">
      <c r="A3" t="s">
        <v>216</v>
      </c>
      <c r="B3">
        <v>44.009700775146499</v>
      </c>
      <c r="C3">
        <v>-78.551992797851497</v>
      </c>
      <c r="D3">
        <v>825.33502197265602</v>
      </c>
      <c r="E3">
        <v>30.950006103515602</v>
      </c>
      <c r="F3" s="2">
        <v>7370</v>
      </c>
      <c r="G3">
        <v>9.3900002539157895E-2</v>
      </c>
      <c r="H3">
        <v>0.23894000053405801</v>
      </c>
      <c r="I3" s="3">
        <v>4.3999999999999997E-2</v>
      </c>
      <c r="J3" t="s">
        <v>247</v>
      </c>
      <c r="K3" t="str">
        <f t="shared" ref="K3:K25" si="0">_xlfn.CONCAT(B3,$J$2)</f>
        <v>44.0097007751465,</v>
      </c>
      <c r="L3" t="str">
        <f>_xlfn.CONCAT(C3,$J$2)</f>
        <v>-78.5519927978515,</v>
      </c>
      <c r="M3" t="str">
        <f>_xlfn.CONCAT(D3,$J$2)</f>
        <v>825.335021972656,</v>
      </c>
      <c r="N3" t="str">
        <f>_xlfn.CONCAT(E3,$J$2)</f>
        <v>30.9500061035156,</v>
      </c>
      <c r="O3" t="str">
        <f>_xlfn.CONCAT(F3,$J$2)</f>
        <v>7370,</v>
      </c>
      <c r="P3" t="str">
        <f>_xlfn.CONCAT(G3,$J$2)</f>
        <v>0.0939000025391579,</v>
      </c>
      <c r="Q3" t="str">
        <f>_xlfn.CONCAT(H3,$J$2)</f>
        <v>0.238940000534058,</v>
      </c>
      <c r="R3" t="str">
        <f>_xlfn.CONCAT(I3,$J$2)</f>
        <v>0.044,</v>
      </c>
    </row>
    <row r="4" spans="1:18" x14ac:dyDescent="0.3">
      <c r="A4" t="s">
        <v>217</v>
      </c>
      <c r="B4">
        <v>16.042900085449201</v>
      </c>
      <c r="C4">
        <v>-161.52500000000001</v>
      </c>
      <c r="D4">
        <v>299.39401245117199</v>
      </c>
      <c r="E4">
        <v>-82.450994873046895</v>
      </c>
      <c r="F4">
        <v>4640.68017578125</v>
      </c>
      <c r="G4">
        <v>9.8999902606010395E-2</v>
      </c>
      <c r="H4">
        <v>1.1498400010168599E-2</v>
      </c>
      <c r="I4" s="3">
        <v>5.1999999999999998E-2</v>
      </c>
      <c r="J4" t="s">
        <v>247</v>
      </c>
      <c r="K4" t="str">
        <f t="shared" si="0"/>
        <v>16.0429000854492,</v>
      </c>
      <c r="L4" t="str">
        <f>_xlfn.CONCAT(C4,$J$2)</f>
        <v>-161.525,</v>
      </c>
      <c r="M4" t="str">
        <f>_xlfn.CONCAT(D4,$J$2)</f>
        <v>299.394012451172,</v>
      </c>
      <c r="N4" t="str">
        <f>_xlfn.CONCAT(E4,$J$2)</f>
        <v>-82.4509948730469,</v>
      </c>
      <c r="O4" t="str">
        <f>_xlfn.CONCAT(F4,$J$2)</f>
        <v>4640.68017578125,</v>
      </c>
      <c r="P4" t="str">
        <f>_xlfn.CONCAT(G4,$J$2)</f>
        <v>0.0989999026060104,</v>
      </c>
      <c r="Q4" t="str">
        <f>_xlfn.CONCAT(H4,$J$2)</f>
        <v>0.0114984000101686,</v>
      </c>
      <c r="R4" t="str">
        <f>_xlfn.CONCAT(I4,$J$2)</f>
        <v>0.052,</v>
      </c>
    </row>
    <row r="5" spans="1:18" x14ac:dyDescent="0.3">
      <c r="A5" t="s">
        <v>218</v>
      </c>
      <c r="B5">
        <v>30.069900512695298</v>
      </c>
      <c r="C5">
        <v>-88.599996948242193</v>
      </c>
      <c r="D5">
        <v>355.68301391601602</v>
      </c>
      <c r="E5">
        <v>32.278009033203098</v>
      </c>
      <c r="F5">
        <v>4883.85009765625</v>
      </c>
      <c r="G5">
        <v>0.14800000190734899</v>
      </c>
      <c r="H5">
        <v>9.8600000143051106E-2</v>
      </c>
      <c r="I5" s="3">
        <v>6.7000000000000004E-2</v>
      </c>
      <c r="J5" t="s">
        <v>247</v>
      </c>
      <c r="K5" t="str">
        <f t="shared" si="0"/>
        <v>30.0699005126953,</v>
      </c>
      <c r="L5" t="str">
        <f>_xlfn.CONCAT(C5,$J$2)</f>
        <v>-88.5999969482422,</v>
      </c>
      <c r="M5" t="str">
        <f>_xlfn.CONCAT(D5,$J$2)</f>
        <v>355.683013916016,</v>
      </c>
      <c r="N5" t="str">
        <f>_xlfn.CONCAT(E5,$J$2)</f>
        <v>32.2780090332031,</v>
      </c>
      <c r="O5" t="str">
        <f>_xlfn.CONCAT(F5,$J$2)</f>
        <v>4883.85009765625,</v>
      </c>
      <c r="P5" t="str">
        <f>_xlfn.CONCAT(G5,$J$2)</f>
        <v>0.148000001907349,</v>
      </c>
      <c r="Q5" t="str">
        <f>_xlfn.CONCAT(H5,$J$2)</f>
        <v>0.0986000001430511,</v>
      </c>
      <c r="R5" t="str">
        <f>_xlfn.CONCAT(I5,$J$2)</f>
        <v>0.067,</v>
      </c>
    </row>
    <row r="6" spans="1:18" x14ac:dyDescent="0.3">
      <c r="A6" t="s">
        <v>219</v>
      </c>
      <c r="B6">
        <v>44.097000122070298</v>
      </c>
      <c r="C6">
        <v>-42.101995849609402</v>
      </c>
      <c r="D6">
        <v>506.67800903320301</v>
      </c>
      <c r="E6">
        <v>96.748010253906301</v>
      </c>
      <c r="F6">
        <v>4256.66015625</v>
      </c>
      <c r="G6">
        <v>0.20000000298023199</v>
      </c>
      <c r="H6">
        <v>0.152400001883507</v>
      </c>
      <c r="I6" s="3">
        <v>8.4000000000000005E-2</v>
      </c>
      <c r="J6" t="s">
        <v>247</v>
      </c>
      <c r="K6" t="str">
        <f t="shared" si="0"/>
        <v>44.0970001220703,</v>
      </c>
      <c r="L6" t="str">
        <f>_xlfn.CONCAT(C6,$J$2)</f>
        <v>-42.1019958496094,</v>
      </c>
      <c r="M6" t="str">
        <f>_xlfn.CONCAT(D6,$J$2)</f>
        <v>506.678009033203,</v>
      </c>
      <c r="N6" t="str">
        <f>_xlfn.CONCAT(E6,$J$2)</f>
        <v>96.7480102539063,</v>
      </c>
      <c r="O6" t="str">
        <f>_xlfn.CONCAT(F6,$J$2)</f>
        <v>4256.66015625,</v>
      </c>
      <c r="P6" t="str">
        <f>_xlfn.CONCAT(G6,$J$2)</f>
        <v>0.200000002980232,</v>
      </c>
      <c r="Q6" t="str">
        <f>_xlfn.CONCAT(H6,$J$2)</f>
        <v>0.152400001883507,</v>
      </c>
      <c r="R6" t="str">
        <f>_xlfn.CONCAT(I6,$J$2)</f>
        <v>0.084,</v>
      </c>
    </row>
    <row r="7" spans="1:18" x14ac:dyDescent="0.3">
      <c r="A7" t="s">
        <v>220</v>
      </c>
      <c r="B7">
        <v>58.124000549316399</v>
      </c>
      <c r="C7">
        <v>-11.7299865722656</v>
      </c>
      <c r="D7">
        <v>561.96600341796898</v>
      </c>
      <c r="E7">
        <v>134.94600830078099</v>
      </c>
      <c r="F7">
        <v>3647.6201171875</v>
      </c>
      <c r="G7">
        <v>0.26300001144409202</v>
      </c>
      <c r="H7">
        <v>0.18479000031948101</v>
      </c>
      <c r="I7" s="3">
        <v>0.1055</v>
      </c>
      <c r="J7" t="s">
        <v>247</v>
      </c>
      <c r="K7" t="str">
        <f t="shared" si="0"/>
        <v>58.1240005493164,</v>
      </c>
      <c r="L7" t="str">
        <f>_xlfn.CONCAT(C7,$J$2)</f>
        <v>-11.7299865722656,</v>
      </c>
      <c r="M7" t="str">
        <f>_xlfn.CONCAT(D7,$J$2)</f>
        <v>561.966003417969,</v>
      </c>
      <c r="N7" t="str">
        <f>_xlfn.CONCAT(E7,$J$2)</f>
        <v>134.946008300781,</v>
      </c>
      <c r="O7" t="str">
        <f>_xlfn.CONCAT(F7,$J$2)</f>
        <v>3647.6201171875,</v>
      </c>
      <c r="P7" t="str">
        <f>_xlfn.CONCAT(G7,$J$2)</f>
        <v>0.263000011444092,</v>
      </c>
      <c r="Q7" t="str">
        <f>_xlfn.CONCAT(H7,$J$2)</f>
        <v>0.184790000319481,</v>
      </c>
      <c r="R7" t="str">
        <f>_xlfn.CONCAT(I7,$J$2)</f>
        <v>0.1055,</v>
      </c>
    </row>
    <row r="8" spans="1:18" x14ac:dyDescent="0.3">
      <c r="A8" t="s">
        <v>221</v>
      </c>
      <c r="B8">
        <v>58.124000549316399</v>
      </c>
      <c r="C8">
        <v>-0.50198974609372704</v>
      </c>
      <c r="D8">
        <v>583.22302246093705</v>
      </c>
      <c r="E8">
        <v>152.04900512695301</v>
      </c>
      <c r="F8">
        <v>3796.6201171875</v>
      </c>
      <c r="G8">
        <v>0.25499001145362898</v>
      </c>
      <c r="H8">
        <v>0.20100000500678999</v>
      </c>
      <c r="I8" s="3">
        <v>0.101400001525879</v>
      </c>
      <c r="J8" t="s">
        <v>247</v>
      </c>
      <c r="K8" t="str">
        <f t="shared" si="0"/>
        <v>58.1240005493164,</v>
      </c>
      <c r="L8" t="str">
        <f>_xlfn.CONCAT(C8,$J$2)</f>
        <v>-0.501989746093727,</v>
      </c>
      <c r="M8" t="str">
        <f>_xlfn.CONCAT(D8,$J$2)</f>
        <v>583.223022460937,</v>
      </c>
      <c r="N8" t="str">
        <f>_xlfn.CONCAT(E8,$J$2)</f>
        <v>152.049005126953,</v>
      </c>
      <c r="O8" t="str">
        <f>_xlfn.CONCAT(F8,$J$2)</f>
        <v>3796.6201171875,</v>
      </c>
      <c r="P8" t="str">
        <f>_xlfn.CONCAT(G8,$J$2)</f>
        <v>0.254990011453629,</v>
      </c>
      <c r="Q8" t="str">
        <f>_xlfn.CONCAT(H8,$J$2)</f>
        <v>0.20100000500679,</v>
      </c>
      <c r="R8" t="str">
        <f>_xlfn.CONCAT(I8,$J$2)</f>
        <v>0.101400001525879,</v>
      </c>
    </row>
    <row r="9" spans="1:18" x14ac:dyDescent="0.3">
      <c r="A9" t="s">
        <v>222</v>
      </c>
      <c r="B9">
        <v>72.1510009765625</v>
      </c>
      <c r="C9">
        <v>27.878015136718801</v>
      </c>
      <c r="D9">
        <v>623.44201660156205</v>
      </c>
      <c r="E9">
        <v>187.24801025390599</v>
      </c>
      <c r="F9">
        <v>3333.59008789063</v>
      </c>
      <c r="G9">
        <v>0.30799001455307001</v>
      </c>
      <c r="H9">
        <v>0.222240000963211</v>
      </c>
      <c r="I9" s="3">
        <v>0.117400001525879</v>
      </c>
      <c r="J9" t="s">
        <v>247</v>
      </c>
      <c r="K9" t="str">
        <f t="shared" si="0"/>
        <v>72.1510009765625,</v>
      </c>
      <c r="L9" t="str">
        <f>_xlfn.CONCAT(C9,$J$2)</f>
        <v>27.8780151367188,</v>
      </c>
      <c r="M9" t="str">
        <f>_xlfn.CONCAT(D9,$J$2)</f>
        <v>623.442016601562,</v>
      </c>
      <c r="N9" t="str">
        <f>_xlfn.CONCAT(E9,$J$2)</f>
        <v>187.248010253906,</v>
      </c>
      <c r="O9" t="str">
        <f>_xlfn.CONCAT(F9,$J$2)</f>
        <v>3333.59008789063,</v>
      </c>
      <c r="P9" t="str">
        <f>_xlfn.CONCAT(G9,$J$2)</f>
        <v>0.30799001455307,</v>
      </c>
      <c r="Q9" t="str">
        <f>_xlfn.CONCAT(H9,$J$2)</f>
        <v>0.222240000963211,</v>
      </c>
      <c r="R9" t="str">
        <f>_xlfn.CONCAT(I9,$J$2)</f>
        <v>0.117400001525879,</v>
      </c>
    </row>
    <row r="10" spans="1:18" x14ac:dyDescent="0.3">
      <c r="A10" t="s">
        <v>223</v>
      </c>
      <c r="B10">
        <v>72.1510009765625</v>
      </c>
      <c r="C10">
        <v>36.059014892578197</v>
      </c>
      <c r="D10">
        <v>629.72900390625</v>
      </c>
      <c r="E10">
        <v>196.45000610351599</v>
      </c>
      <c r="F10">
        <v>3375.1201171875</v>
      </c>
      <c r="G10">
        <v>0.31099000573158297</v>
      </c>
      <c r="H10">
        <v>0.25389000773429898</v>
      </c>
      <c r="I10" s="3">
        <v>0.11609700012207</v>
      </c>
      <c r="J10" t="s">
        <v>247</v>
      </c>
      <c r="K10" t="str">
        <f t="shared" si="0"/>
        <v>72.1510009765625,</v>
      </c>
      <c r="L10" t="str">
        <f>_xlfn.CONCAT(C10,$J$2)</f>
        <v>36.0590148925782,</v>
      </c>
      <c r="M10" t="str">
        <f>_xlfn.CONCAT(D10,$J$2)</f>
        <v>629.72900390625,</v>
      </c>
      <c r="N10" t="str">
        <f>_xlfn.CONCAT(E10,$J$2)</f>
        <v>196.450006103516,</v>
      </c>
      <c r="O10" t="str">
        <f>_xlfn.CONCAT(F10,$J$2)</f>
        <v>3375.1201171875,</v>
      </c>
      <c r="P10" t="str">
        <f>_xlfn.CONCAT(G10,$J$2)</f>
        <v>0.310990005731583,</v>
      </c>
      <c r="Q10" t="str">
        <f>_xlfn.CONCAT(H10,$J$2)</f>
        <v>0.253890007734299,</v>
      </c>
      <c r="R10" t="str">
        <f>_xlfn.CONCAT(I10,$J$2)</f>
        <v>0.11609700012207,</v>
      </c>
    </row>
    <row r="11" spans="1:18" x14ac:dyDescent="0.3">
      <c r="A11" t="s">
        <v>224</v>
      </c>
      <c r="B11">
        <v>86.177902221679702</v>
      </c>
      <c r="C11">
        <v>68.730004882812494</v>
      </c>
      <c r="D11">
        <v>662.66400146484398</v>
      </c>
      <c r="E11">
        <v>234.74801025390599</v>
      </c>
      <c r="F11">
        <v>3031.6201171875</v>
      </c>
      <c r="G11">
        <v>0.36800000071525601</v>
      </c>
      <c r="H11">
        <v>0.30070000886917098</v>
      </c>
      <c r="I11" s="3">
        <v>0.13160000610351599</v>
      </c>
      <c r="J11" t="s">
        <v>247</v>
      </c>
      <c r="K11" t="str">
        <f t="shared" si="0"/>
        <v>86.1779022216797,</v>
      </c>
      <c r="L11" t="str">
        <f>_xlfn.CONCAT(C11,$J$2)</f>
        <v>68.7300048828125,</v>
      </c>
      <c r="M11" t="str">
        <f>_xlfn.CONCAT(D11,$J$2)</f>
        <v>662.664001464844,</v>
      </c>
      <c r="N11" t="str">
        <f>_xlfn.CONCAT(E11,$J$2)</f>
        <v>234.748010253906,</v>
      </c>
      <c r="O11" t="str">
        <f>_xlfn.CONCAT(F11,$J$2)</f>
        <v>3031.6201171875,</v>
      </c>
      <c r="P11" t="str">
        <f>_xlfn.CONCAT(G11,$J$2)</f>
        <v>0.368000000715256,</v>
      </c>
      <c r="Q11" t="str">
        <f>_xlfn.CONCAT(H11,$J$2)</f>
        <v>0.300700008869171,</v>
      </c>
      <c r="R11" t="str">
        <f>_xlfn.CONCAT(I11,$J$2)</f>
        <v>0.131600006103516,</v>
      </c>
    </row>
    <row r="12" spans="1:18" x14ac:dyDescent="0.3">
      <c r="A12" t="s">
        <v>225</v>
      </c>
      <c r="B12">
        <v>18.015100479126001</v>
      </c>
      <c r="C12">
        <v>99.998010253906301</v>
      </c>
      <c r="D12">
        <v>997.98602294921898</v>
      </c>
      <c r="E12">
        <v>374.149011230469</v>
      </c>
      <c r="F12" s="2">
        <v>22120</v>
      </c>
      <c r="G12">
        <v>5.7100001722574199E-2</v>
      </c>
      <c r="H12">
        <v>0.34400001168250999</v>
      </c>
      <c r="I12" s="3">
        <v>1.78833827972412E-2</v>
      </c>
      <c r="J12" t="s">
        <v>247</v>
      </c>
      <c r="K12" t="str">
        <f t="shared" si="0"/>
        <v>18.015100479126,</v>
      </c>
      <c r="L12" t="str">
        <f>_xlfn.CONCAT(C12,$J$2)</f>
        <v>99.9980102539063,</v>
      </c>
      <c r="M12" t="str">
        <f>_xlfn.CONCAT(D12,$J$2)</f>
        <v>997.986022949219,</v>
      </c>
      <c r="N12" t="str">
        <f>_xlfn.CONCAT(E12,$J$2)</f>
        <v>374.149011230469,</v>
      </c>
      <c r="O12" t="str">
        <f>_xlfn.CONCAT(F12,$J$2)</f>
        <v>22120,</v>
      </c>
      <c r="P12" t="str">
        <f>_xlfn.CONCAT(G12,$J$2)</f>
        <v>0.0571000017225742,</v>
      </c>
      <c r="Q12" t="str">
        <f>_xlfn.CONCAT(H12,$J$2)</f>
        <v>0.34400001168251,</v>
      </c>
      <c r="R12" t="str">
        <f>_xlfn.CONCAT(I12,$J$2)</f>
        <v>0.0178833827972412,</v>
      </c>
    </row>
    <row r="13" spans="1:18" x14ac:dyDescent="0.3">
      <c r="A13" t="s">
        <v>226</v>
      </c>
      <c r="B13">
        <v>32.041900634765597</v>
      </c>
      <c r="C13">
        <v>64.649011230468801</v>
      </c>
      <c r="D13">
        <v>795.719970703125</v>
      </c>
      <c r="E13">
        <v>239.44802246093801</v>
      </c>
      <c r="F13">
        <v>7376.4501953125</v>
      </c>
      <c r="G13">
        <v>0.12700000405311601</v>
      </c>
      <c r="H13">
        <v>0.55699002742767301</v>
      </c>
      <c r="I13" s="3">
        <v>4.0762859344482399E-2</v>
      </c>
      <c r="J13" t="s">
        <v>247</v>
      </c>
      <c r="K13" t="str">
        <f t="shared" si="0"/>
        <v>32.0419006347656,</v>
      </c>
      <c r="L13" t="str">
        <f>_xlfn.CONCAT(C13,$J$2)</f>
        <v>64.6490112304688,</v>
      </c>
      <c r="M13" t="str">
        <f>_xlfn.CONCAT(D13,$J$2)</f>
        <v>795.719970703125,</v>
      </c>
      <c r="N13" t="str">
        <f>_xlfn.CONCAT(E13,$J$2)</f>
        <v>239.448022460938,</v>
      </c>
      <c r="O13" t="str">
        <f>_xlfn.CONCAT(F13,$J$2)</f>
        <v>7376.4501953125,</v>
      </c>
      <c r="P13" t="str">
        <f>_xlfn.CONCAT(G13,$J$2)</f>
        <v>0.127000004053116,</v>
      </c>
      <c r="Q13" t="str">
        <f>_xlfn.CONCAT(H13,$J$2)</f>
        <v>0.556990027427673,</v>
      </c>
      <c r="R13" t="str">
        <f>_xlfn.CONCAT(I13,$J$2)</f>
        <v>0.0407628593444824,</v>
      </c>
    </row>
    <row r="14" spans="1:18" x14ac:dyDescent="0.3">
      <c r="A14" t="s">
        <v>231</v>
      </c>
      <c r="B14">
        <v>97.349998474121094</v>
      </c>
      <c r="C14">
        <v>91.899987792968801</v>
      </c>
      <c r="D14">
        <v>709.27001953125</v>
      </c>
      <c r="E14">
        <v>268.930017089844</v>
      </c>
      <c r="F14">
        <v>2940</v>
      </c>
      <c r="G14">
        <v>0.39910000562667802</v>
      </c>
      <c r="H14">
        <v>0.30399999022483798</v>
      </c>
      <c r="I14">
        <v>0.138862882520982</v>
      </c>
      <c r="J14" t="s">
        <v>247</v>
      </c>
      <c r="K14" t="str">
        <f t="shared" si="0"/>
        <v>97.349998474121,</v>
      </c>
      <c r="L14" t="str">
        <f>_xlfn.CONCAT(C14,$J$2)</f>
        <v>91.8999877929688,</v>
      </c>
      <c r="M14" t="str">
        <f>_xlfn.CONCAT(D14,$J$2)</f>
        <v>709.27001953125,</v>
      </c>
      <c r="N14" t="str">
        <f>_xlfn.CONCAT(E14,$J$2)</f>
        <v>268.930017089844,</v>
      </c>
      <c r="O14" t="str">
        <f>_xlfn.CONCAT(F14,$J$2)</f>
        <v>2940,</v>
      </c>
      <c r="P14" t="str">
        <f>_xlfn.CONCAT(G14,$J$2)</f>
        <v>0.399100005626678,</v>
      </c>
      <c r="Q14" t="str">
        <f>_xlfn.CONCAT(H14,$J$2)</f>
        <v>0.303999990224838,</v>
      </c>
      <c r="R14" t="str">
        <f>_xlfn.CONCAT(I14,$J$2)</f>
        <v>0.138862882520982,</v>
      </c>
    </row>
    <row r="15" spans="1:18" x14ac:dyDescent="0.3">
      <c r="A15" t="s">
        <v>232</v>
      </c>
      <c r="B15">
        <v>118.529998779297</v>
      </c>
      <c r="C15">
        <v>129.62999877929701</v>
      </c>
      <c r="D15">
        <v>744.05999755859398</v>
      </c>
      <c r="E15">
        <v>317.13002929687502</v>
      </c>
      <c r="F15">
        <v>2900</v>
      </c>
      <c r="G15">
        <v>0.47409999370575001</v>
      </c>
      <c r="H15">
        <v>0.38139998912811302</v>
      </c>
      <c r="I15">
        <v>0.16094976602198699</v>
      </c>
      <c r="J15" t="s">
        <v>247</v>
      </c>
      <c r="K15" t="str">
        <f t="shared" si="0"/>
        <v>118.529998779297,</v>
      </c>
      <c r="L15" t="str">
        <f>_xlfn.CONCAT(C15,$J$2)</f>
        <v>129.629998779297,</v>
      </c>
      <c r="M15" t="str">
        <f>_xlfn.CONCAT(D15,$J$2)</f>
        <v>744.059997558594,</v>
      </c>
      <c r="N15" t="str">
        <f>_xlfn.CONCAT(E15,$J$2)</f>
        <v>317.130029296875,</v>
      </c>
      <c r="O15" t="str">
        <f>_xlfn.CONCAT(F15,$J$2)</f>
        <v>2900,</v>
      </c>
      <c r="P15" t="str">
        <f>_xlfn.CONCAT(G15,$J$2)</f>
        <v>0.47409999370575,</v>
      </c>
      <c r="Q15" t="str">
        <f>_xlfn.CONCAT(H15,$J$2)</f>
        <v>0.381399989128113,</v>
      </c>
      <c r="R15" t="str">
        <f>_xlfn.CONCAT(I15,$J$2)</f>
        <v>0.160949766021987,</v>
      </c>
    </row>
    <row r="16" spans="1:18" x14ac:dyDescent="0.3">
      <c r="A16" t="s">
        <v>233</v>
      </c>
      <c r="B16">
        <v>198.80999755859401</v>
      </c>
      <c r="C16">
        <v>253.21999511718801</v>
      </c>
      <c r="D16">
        <v>823.22998046875</v>
      </c>
      <c r="E16">
        <v>437.930017089844</v>
      </c>
      <c r="F16">
        <v>1840</v>
      </c>
      <c r="G16">
        <v>0.754499971866608</v>
      </c>
      <c r="H16">
        <v>0.53189998865127597</v>
      </c>
      <c r="I16">
        <v>0.24346226237429699</v>
      </c>
      <c r="J16" t="s">
        <v>247</v>
      </c>
      <c r="K16" t="str">
        <f t="shared" si="0"/>
        <v>198.809997558594,</v>
      </c>
      <c r="L16" t="str">
        <f>_xlfn.CONCAT(C16,$J$2)</f>
        <v>253.219995117188,</v>
      </c>
      <c r="M16" t="str">
        <f>_xlfn.CONCAT(D16,$J$2)</f>
        <v>823.22998046875,</v>
      </c>
      <c r="N16" t="str">
        <f>_xlfn.CONCAT(E16,$J$2)</f>
        <v>437.930017089844,</v>
      </c>
      <c r="O16" t="str">
        <f>_xlfn.CONCAT(F16,$J$2)</f>
        <v>1840,</v>
      </c>
      <c r="P16" t="str">
        <f>_xlfn.CONCAT(G16,$J$2)</f>
        <v>0.754499971866608,</v>
      </c>
      <c r="Q16" t="str">
        <f>_xlfn.CONCAT(H16,$J$2)</f>
        <v>0.531899988651276,</v>
      </c>
      <c r="R16" t="str">
        <f>_xlfn.CONCAT(I16,$J$2)</f>
        <v>0.243462262374297,</v>
      </c>
    </row>
    <row r="17" spans="1:18" x14ac:dyDescent="0.3">
      <c r="A17" t="s">
        <v>234</v>
      </c>
      <c r="B17">
        <v>191.32000732421901</v>
      </c>
      <c r="C17">
        <v>248.409997558594</v>
      </c>
      <c r="D17">
        <v>811.13000488281295</v>
      </c>
      <c r="E17">
        <v>423.909997558594</v>
      </c>
      <c r="F17">
        <v>1850</v>
      </c>
      <c r="G17">
        <v>0.75819998979568504</v>
      </c>
      <c r="H17">
        <v>0.62379997968673695</v>
      </c>
      <c r="I17">
        <v>0.237893743550988</v>
      </c>
      <c r="J17" t="s">
        <v>247</v>
      </c>
      <c r="K17" t="str">
        <f t="shared" si="0"/>
        <v>191.320007324219,</v>
      </c>
      <c r="L17" t="str">
        <f>_xlfn.CONCAT(C17,$J$2)</f>
        <v>248.409997558594,</v>
      </c>
      <c r="M17" t="str">
        <f>_xlfn.CONCAT(D17,$J$2)</f>
        <v>811.130004882813,</v>
      </c>
      <c r="N17" t="str">
        <f>_xlfn.CONCAT(E17,$J$2)</f>
        <v>423.909997558594,</v>
      </c>
      <c r="O17" t="str">
        <f>_xlfn.CONCAT(F17,$J$2)</f>
        <v>1850,</v>
      </c>
      <c r="P17" t="str">
        <f>_xlfn.CONCAT(G17,$J$2)</f>
        <v>0.758199989795685,</v>
      </c>
      <c r="Q17" t="str">
        <f>_xlfn.CONCAT(H17,$J$2)</f>
        <v>0.623799979686737,</v>
      </c>
      <c r="R17" t="str">
        <f>_xlfn.CONCAT(I17,$J$2)</f>
        <v>0.237893743550988,</v>
      </c>
    </row>
    <row r="18" spans="1:18" x14ac:dyDescent="0.3">
      <c r="A18" t="s">
        <v>235</v>
      </c>
      <c r="B18">
        <v>330.38000488281301</v>
      </c>
      <c r="C18">
        <v>423.57998046875002</v>
      </c>
      <c r="D18">
        <v>892.34997558593795</v>
      </c>
      <c r="E18">
        <v>578.56002197265605</v>
      </c>
      <c r="F18">
        <v>1120</v>
      </c>
      <c r="G18">
        <v>1.29519999027252</v>
      </c>
      <c r="H18">
        <v>1.0282000303268399</v>
      </c>
      <c r="I18">
        <v>0.37298785400390599</v>
      </c>
      <c r="J18" t="s">
        <v>247</v>
      </c>
      <c r="K18" t="str">
        <f t="shared" si="0"/>
        <v>330.380004882813,</v>
      </c>
      <c r="L18" t="str">
        <f t="shared" ref="L18:L25" si="1">_xlfn.CONCAT(C18,$J$2)</f>
        <v>423.57998046875,</v>
      </c>
      <c r="M18" t="str">
        <f t="shared" ref="M18:M25" si="2">_xlfn.CONCAT(D18,$J$2)</f>
        <v>892.349975585938,</v>
      </c>
      <c r="N18" t="str">
        <f t="shared" ref="N18:N25" si="3">_xlfn.CONCAT(E18,$J$2)</f>
        <v>578.560021972656,</v>
      </c>
      <c r="O18" t="str">
        <f t="shared" ref="O18:O25" si="4">_xlfn.CONCAT(F18,$J$2)</f>
        <v>1120,</v>
      </c>
      <c r="P18" t="str">
        <f t="shared" ref="P18:P25" si="5">_xlfn.CONCAT(G18,$J$2)</f>
        <v>1.29519999027252,</v>
      </c>
      <c r="Q18" t="str">
        <f t="shared" ref="Q18:R25" si="6">_xlfn.CONCAT(H18,$J$2)</f>
        <v>1.02820003032684,</v>
      </c>
      <c r="R18" t="str">
        <f t="shared" si="6"/>
        <v>0.372987854003906,</v>
      </c>
    </row>
    <row r="19" spans="1:18" x14ac:dyDescent="0.3">
      <c r="A19" t="s">
        <v>236</v>
      </c>
      <c r="B19">
        <v>339.04998779296898</v>
      </c>
      <c r="C19">
        <v>390.50002441406298</v>
      </c>
      <c r="D19">
        <v>882.20001220703102</v>
      </c>
      <c r="E19">
        <v>604.440026855469</v>
      </c>
      <c r="F19">
        <v>1260</v>
      </c>
      <c r="G19">
        <v>1.16110002994537</v>
      </c>
      <c r="H19">
        <v>0.86180001497268699</v>
      </c>
      <c r="I19">
        <v>0.38692221069335903</v>
      </c>
      <c r="J19" t="s">
        <v>247</v>
      </c>
      <c r="K19" t="str">
        <f t="shared" si="0"/>
        <v>339.049987792969,</v>
      </c>
      <c r="L19" t="str">
        <f t="shared" si="1"/>
        <v>390.500024414063,</v>
      </c>
      <c r="M19" t="str">
        <f t="shared" si="2"/>
        <v>882.200012207031,</v>
      </c>
      <c r="N19" t="str">
        <f t="shared" si="3"/>
        <v>604.440026855469,</v>
      </c>
      <c r="O19" t="str">
        <f t="shared" si="4"/>
        <v>1260,</v>
      </c>
      <c r="P19" t="str">
        <f t="shared" si="5"/>
        <v>1.16110002994537,</v>
      </c>
      <c r="Q19" t="str">
        <f t="shared" si="6"/>
        <v>0.861800014972687,</v>
      </c>
      <c r="R19" t="str">
        <f t="shared" si="6"/>
        <v>0.386922210693359,</v>
      </c>
    </row>
    <row r="20" spans="1:18" x14ac:dyDescent="0.3">
      <c r="A20" t="s">
        <v>237</v>
      </c>
      <c r="B20">
        <v>454.83999633789102</v>
      </c>
      <c r="C20">
        <v>468.85</v>
      </c>
      <c r="D20">
        <v>910.97998046875</v>
      </c>
      <c r="E20">
        <v>692.98000488281298</v>
      </c>
      <c r="F20">
        <v>940</v>
      </c>
      <c r="G20">
        <v>1.4395999908447299</v>
      </c>
      <c r="H20">
        <v>1.19289994239807</v>
      </c>
      <c r="I20">
        <v>0.50264141845703103</v>
      </c>
      <c r="J20" t="s">
        <v>247</v>
      </c>
      <c r="K20" t="str">
        <f t="shared" si="0"/>
        <v>454.839996337891,</v>
      </c>
      <c r="L20" t="str">
        <f t="shared" si="1"/>
        <v>468.85,</v>
      </c>
      <c r="M20" t="str">
        <f t="shared" si="2"/>
        <v>910.97998046875,</v>
      </c>
      <c r="N20" t="str">
        <f t="shared" si="3"/>
        <v>692.980004882813,</v>
      </c>
      <c r="O20" t="str">
        <f t="shared" si="4"/>
        <v>940,</v>
      </c>
      <c r="P20" t="str">
        <f t="shared" si="5"/>
        <v>1.43959999084473,</v>
      </c>
      <c r="Q20" t="str">
        <f t="shared" si="6"/>
        <v>1.19289994239807,</v>
      </c>
      <c r="R20" t="str">
        <f t="shared" si="6"/>
        <v>0.502641418457031,</v>
      </c>
    </row>
    <row r="21" spans="1:18" x14ac:dyDescent="0.3">
      <c r="A21" t="s">
        <v>238</v>
      </c>
      <c r="B21">
        <v>543</v>
      </c>
      <c r="C21">
        <v>619.88002929687502</v>
      </c>
      <c r="D21">
        <v>926.14001464843795</v>
      </c>
      <c r="E21">
        <v>791.41994628906298</v>
      </c>
      <c r="F21">
        <v>6340</v>
      </c>
      <c r="G21">
        <v>2.17860007286072</v>
      </c>
      <c r="H21">
        <v>1.5334999561309799</v>
      </c>
      <c r="I21">
        <v>0.58987786865234404</v>
      </c>
      <c r="J21" t="s">
        <v>247</v>
      </c>
      <c r="K21" t="str">
        <f t="shared" si="0"/>
        <v>543,</v>
      </c>
      <c r="L21" t="str">
        <f t="shared" si="1"/>
        <v>619.880029296875,</v>
      </c>
      <c r="M21" t="str">
        <f t="shared" si="2"/>
        <v>926.140014648438,</v>
      </c>
      <c r="N21" t="str">
        <f t="shared" si="3"/>
        <v>791.419946289063,</v>
      </c>
      <c r="O21" t="str">
        <f t="shared" si="4"/>
        <v>6340,</v>
      </c>
      <c r="P21" t="str">
        <f t="shared" si="5"/>
        <v>2.17860007286072,</v>
      </c>
      <c r="Q21" t="str">
        <f t="shared" si="6"/>
        <v>1.53349995613098,</v>
      </c>
      <c r="R21" t="str">
        <f t="shared" si="6"/>
        <v>0.589877868652344,</v>
      </c>
    </row>
    <row r="22" spans="1:18" x14ac:dyDescent="0.3">
      <c r="A22" t="s">
        <v>228</v>
      </c>
      <c r="B22">
        <v>84.819999694824205</v>
      </c>
      <c r="C22">
        <v>72.749993896484398</v>
      </c>
      <c r="D22">
        <v>741.65997314453102</v>
      </c>
      <c r="E22">
        <v>253.430017089844</v>
      </c>
      <c r="F22">
        <v>3660</v>
      </c>
      <c r="G22">
        <v>0.33050000667571999</v>
      </c>
      <c r="H22">
        <v>0.19198000431060799</v>
      </c>
      <c r="I22">
        <v>0.11574098205566399</v>
      </c>
      <c r="J22" t="s">
        <v>247</v>
      </c>
      <c r="K22" t="str">
        <f t="shared" si="0"/>
        <v>84.8199996948242,</v>
      </c>
      <c r="L22" t="str">
        <f t="shared" si="1"/>
        <v>72.7499938964844,</v>
      </c>
      <c r="M22" t="str">
        <f t="shared" si="2"/>
        <v>741.659973144531,</v>
      </c>
      <c r="N22" t="str">
        <f t="shared" si="3"/>
        <v>253.430017089844,</v>
      </c>
      <c r="O22" t="str">
        <f t="shared" si="4"/>
        <v>3660,</v>
      </c>
      <c r="P22" t="str">
        <f t="shared" si="5"/>
        <v>0.33050000667572,</v>
      </c>
      <c r="Q22" t="str">
        <f t="shared" si="6"/>
        <v>0.191980004310608,</v>
      </c>
      <c r="R22" t="str">
        <f t="shared" si="6"/>
        <v>0.115740982055664,</v>
      </c>
    </row>
    <row r="23" spans="1:18" x14ac:dyDescent="0.3">
      <c r="A23" t="s">
        <v>227</v>
      </c>
      <c r="B23">
        <v>115.06999969482401</v>
      </c>
      <c r="C23">
        <v>137.21999511718801</v>
      </c>
      <c r="D23">
        <v>796.79998779296898</v>
      </c>
      <c r="E23">
        <v>326.23000488281298</v>
      </c>
      <c r="F23">
        <v>3040</v>
      </c>
      <c r="G23">
        <v>0.44139999151229897</v>
      </c>
      <c r="H23">
        <v>0.259950011968613</v>
      </c>
      <c r="I23">
        <v>0.14582756042480499</v>
      </c>
      <c r="J23" t="s">
        <v>247</v>
      </c>
      <c r="K23" t="str">
        <f t="shared" si="0"/>
        <v>115.069999694824,</v>
      </c>
      <c r="L23" t="str">
        <f t="shared" si="1"/>
        <v>137.219995117188,</v>
      </c>
      <c r="M23" t="str">
        <f t="shared" si="2"/>
        <v>796.799987792969,</v>
      </c>
      <c r="N23" t="str">
        <f t="shared" si="3"/>
        <v>326.230004882813,</v>
      </c>
      <c r="O23" t="str">
        <f t="shared" si="4"/>
        <v>3040,</v>
      </c>
      <c r="P23" t="str">
        <f t="shared" si="5"/>
        <v>0.441399991512299,</v>
      </c>
      <c r="Q23" t="str">
        <f t="shared" si="6"/>
        <v>0.259950011968613,</v>
      </c>
      <c r="R23" t="str">
        <f t="shared" si="6"/>
        <v>0.145827560424805,</v>
      </c>
    </row>
    <row r="24" spans="1:18" x14ac:dyDescent="0.3">
      <c r="A24" t="s">
        <v>229</v>
      </c>
      <c r="B24">
        <v>171.919998168945</v>
      </c>
      <c r="C24">
        <v>230.74001464843801</v>
      </c>
      <c r="D24">
        <v>835.739990234375</v>
      </c>
      <c r="E24">
        <v>416.20998535156298</v>
      </c>
      <c r="F24">
        <v>2160</v>
      </c>
      <c r="G24">
        <v>0.66409999132156405</v>
      </c>
      <c r="H24">
        <v>0.42647001147270203</v>
      </c>
      <c r="I24">
        <v>0.20740687561035201</v>
      </c>
      <c r="J24" t="s">
        <v>247</v>
      </c>
      <c r="K24" t="str">
        <f t="shared" si="0"/>
        <v>171.919998168945,</v>
      </c>
      <c r="L24" t="str">
        <f t="shared" si="1"/>
        <v>230.740014648438,</v>
      </c>
      <c r="M24" t="str">
        <f t="shared" si="2"/>
        <v>835.739990234375,</v>
      </c>
      <c r="N24" t="str">
        <f t="shared" si="3"/>
        <v>416.209985351563,</v>
      </c>
      <c r="O24" t="str">
        <f t="shared" si="4"/>
        <v>2160,</v>
      </c>
      <c r="P24" t="str">
        <f t="shared" si="5"/>
        <v>0.664099991321564,</v>
      </c>
      <c r="Q24" t="str">
        <f t="shared" si="6"/>
        <v>0.426470011472702,</v>
      </c>
      <c r="R24" t="str">
        <f t="shared" si="6"/>
        <v>0.207406875610352,</v>
      </c>
    </row>
    <row r="25" spans="1:18" x14ac:dyDescent="0.3">
      <c r="A25" t="s">
        <v>230</v>
      </c>
      <c r="B25">
        <v>217.96000671386699</v>
      </c>
      <c r="C25">
        <v>292.06002197265599</v>
      </c>
      <c r="D25">
        <v>846.239990234375</v>
      </c>
      <c r="E25">
        <v>468.659997558594</v>
      </c>
      <c r="F25">
        <v>1680</v>
      </c>
      <c r="G25">
        <v>0.85280001163482699</v>
      </c>
      <c r="H25">
        <v>1.2430499792098999</v>
      </c>
      <c r="I25">
        <v>0.26004470825195303</v>
      </c>
      <c r="J25" t="s">
        <v>247</v>
      </c>
      <c r="K25" t="str">
        <f t="shared" si="0"/>
        <v>217.960006713867,</v>
      </c>
      <c r="L25" t="str">
        <f t="shared" si="1"/>
        <v>292.060021972656,</v>
      </c>
      <c r="M25" t="str">
        <f t="shared" si="2"/>
        <v>846.239990234375,</v>
      </c>
      <c r="N25" t="str">
        <f t="shared" si="3"/>
        <v>468.659997558594,</v>
      </c>
      <c r="O25" t="str">
        <f t="shared" si="4"/>
        <v>1680,</v>
      </c>
      <c r="P25" t="str">
        <f t="shared" si="5"/>
        <v>0.852800011634827,</v>
      </c>
      <c r="Q25" t="str">
        <f t="shared" si="6"/>
        <v>1.24304997920989,</v>
      </c>
      <c r="R25" t="str">
        <f t="shared" si="6"/>
        <v>0.260044708251953,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2022-04-03T16:04:25Z</dcterms:modified>
</cp:coreProperties>
</file>