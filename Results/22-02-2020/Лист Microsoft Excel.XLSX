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81C9FC6-49EE-4ACA-BABD-BBFEA3696953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5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3" i="1"/>
  <c r="H66" i="1"/>
  <c r="H6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3" i="1"/>
  <c r="F39" i="1"/>
  <c r="G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E39" i="1"/>
  <c r="F24" i="1"/>
  <c r="E24" i="1"/>
  <c r="B26" i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D24" i="1"/>
</calcChain>
</file>

<file path=xl/sharedStrings.xml><?xml version="1.0" encoding="utf-8"?>
<sst xmlns="http://schemas.openxmlformats.org/spreadsheetml/2006/main" count="4" uniqueCount="4">
  <si>
    <t>Расчет</t>
  </si>
  <si>
    <t>Профиль по жидкости, кмоль/ч</t>
  </si>
  <si>
    <t>UniSim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</si>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</sst>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Расчет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Лист1!$A$3:$A$64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Лист1!$B$3:$B$64</c:f>
              <c:numCache>
                <c:formatCode>General</c:formatCode>
                <c:ptCount val="62"/>
                <c:pt idx="0">
                  <c:v>400</c:v>
                </c:pt>
                <c:pt idx="1">
                  <c:v>500</c:v>
                </c:pt>
                <c:pt idx="2">
                  <c:v>500</c:v>
                </c:pt>
                <c:pt idx="3">
                  <c:v>500</c:v>
                </c:pt>
                <c:pt idx="4">
                  <c:v>500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2100</c:v>
                </c:pt>
                <c:pt idx="10">
                  <c:v>2100</c:v>
                </c:pt>
                <c:pt idx="11">
                  <c:v>2100</c:v>
                </c:pt>
                <c:pt idx="12">
                  <c:v>2100</c:v>
                </c:pt>
                <c:pt idx="13">
                  <c:v>2100</c:v>
                </c:pt>
                <c:pt idx="14">
                  <c:v>2100</c:v>
                </c:pt>
                <c:pt idx="15">
                  <c:v>2100</c:v>
                </c:pt>
                <c:pt idx="16">
                  <c:v>2100</c:v>
                </c:pt>
                <c:pt idx="17">
                  <c:v>2100</c:v>
                </c:pt>
                <c:pt idx="18">
                  <c:v>2100</c:v>
                </c:pt>
                <c:pt idx="19">
                  <c:v>2100</c:v>
                </c:pt>
                <c:pt idx="20">
                  <c:v>2100</c:v>
                </c:pt>
                <c:pt idx="21">
                  <c:v>2200</c:v>
                </c:pt>
                <c:pt idx="22">
                  <c:v>2200</c:v>
                </c:pt>
                <c:pt idx="23">
                  <c:v>2203.3333333333335</c:v>
                </c:pt>
                <c:pt idx="24">
                  <c:v>2206.666666666667</c:v>
                </c:pt>
                <c:pt idx="25">
                  <c:v>2210.0000000000005</c:v>
                </c:pt>
                <c:pt idx="26">
                  <c:v>2213.3333333333339</c:v>
                </c:pt>
                <c:pt idx="27">
                  <c:v>2216.6666666666674</c:v>
                </c:pt>
                <c:pt idx="28">
                  <c:v>2220.0000000000009</c:v>
                </c:pt>
                <c:pt idx="29">
                  <c:v>2223.3333333333344</c:v>
                </c:pt>
                <c:pt idx="30">
                  <c:v>2226.6666666666679</c:v>
                </c:pt>
                <c:pt idx="31">
                  <c:v>2230.0000000000014</c:v>
                </c:pt>
                <c:pt idx="32">
                  <c:v>2233.3333333333348</c:v>
                </c:pt>
                <c:pt idx="33">
                  <c:v>2236.6666666666683</c:v>
                </c:pt>
                <c:pt idx="34">
                  <c:v>2240.0000000000018</c:v>
                </c:pt>
                <c:pt idx="35">
                  <c:v>2243.3333333333353</c:v>
                </c:pt>
                <c:pt idx="36">
                  <c:v>2250</c:v>
                </c:pt>
                <c:pt idx="37">
                  <c:v>2250.2777777777778</c:v>
                </c:pt>
                <c:pt idx="38">
                  <c:v>2250.5555555555557</c:v>
                </c:pt>
                <c:pt idx="39">
                  <c:v>2250.8333333333335</c:v>
                </c:pt>
                <c:pt idx="40">
                  <c:v>2251.1111111111113</c:v>
                </c:pt>
                <c:pt idx="41">
                  <c:v>2251.3888888888891</c:v>
                </c:pt>
                <c:pt idx="42">
                  <c:v>2251.666666666667</c:v>
                </c:pt>
                <c:pt idx="43">
                  <c:v>2251.9444444444448</c:v>
                </c:pt>
                <c:pt idx="44">
                  <c:v>2252.2222222222226</c:v>
                </c:pt>
                <c:pt idx="45">
                  <c:v>2252.5000000000005</c:v>
                </c:pt>
                <c:pt idx="46">
                  <c:v>2252.7777777777783</c:v>
                </c:pt>
                <c:pt idx="47">
                  <c:v>2253.0555555555561</c:v>
                </c:pt>
                <c:pt idx="48">
                  <c:v>2253.3333333333339</c:v>
                </c:pt>
                <c:pt idx="49">
                  <c:v>2253.6111111111118</c:v>
                </c:pt>
                <c:pt idx="50">
                  <c:v>2253.8888888888896</c:v>
                </c:pt>
                <c:pt idx="51">
                  <c:v>2254.1666666666674</c:v>
                </c:pt>
                <c:pt idx="52">
                  <c:v>2254.4444444444453</c:v>
                </c:pt>
                <c:pt idx="53">
                  <c:v>2254.7222222222231</c:v>
                </c:pt>
                <c:pt idx="54">
                  <c:v>2255</c:v>
                </c:pt>
                <c:pt idx="55">
                  <c:v>2250</c:v>
                </c:pt>
                <c:pt idx="56">
                  <c:v>2248</c:v>
                </c:pt>
                <c:pt idx="57">
                  <c:v>2240</c:v>
                </c:pt>
                <c:pt idx="58">
                  <c:v>2220</c:v>
                </c:pt>
                <c:pt idx="59">
                  <c:v>2150</c:v>
                </c:pt>
                <c:pt idx="60">
                  <c:v>1800</c:v>
                </c:pt>
                <c:pt idx="61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39-4D2C-B176-2849B486E794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UniSim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Лист1!$A$3:$A$64</c:f>
              <c:numCache>
                <c:formatCode>General</c:formatCode>
                <c:ptCount val="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</c:numCache>
            </c:numRef>
          </c:xVal>
          <c:yVal>
            <c:numRef>
              <c:f>Лист1!$C$3:$C$64</c:f>
              <c:numCache>
                <c:formatCode>General</c:formatCode>
                <c:ptCount val="62"/>
                <c:pt idx="0">
                  <c:v>400</c:v>
                </c:pt>
                <c:pt idx="1">
                  <c:v>399</c:v>
                </c:pt>
                <c:pt idx="2">
                  <c:v>399</c:v>
                </c:pt>
                <c:pt idx="3">
                  <c:v>398</c:v>
                </c:pt>
                <c:pt idx="4">
                  <c:v>397</c:v>
                </c:pt>
                <c:pt idx="5">
                  <c:v>396</c:v>
                </c:pt>
                <c:pt idx="6">
                  <c:v>395</c:v>
                </c:pt>
                <c:pt idx="7">
                  <c:v>390</c:v>
                </c:pt>
                <c:pt idx="8">
                  <c:v>300</c:v>
                </c:pt>
                <c:pt idx="9">
                  <c:v>2190</c:v>
                </c:pt>
                <c:pt idx="10">
                  <c:v>2191</c:v>
                </c:pt>
                <c:pt idx="11">
                  <c:v>2192</c:v>
                </c:pt>
                <c:pt idx="12">
                  <c:v>2193</c:v>
                </c:pt>
                <c:pt idx="13">
                  <c:v>2194</c:v>
                </c:pt>
                <c:pt idx="14">
                  <c:v>2195</c:v>
                </c:pt>
                <c:pt idx="15">
                  <c:v>2196</c:v>
                </c:pt>
                <c:pt idx="16">
                  <c:v>2197</c:v>
                </c:pt>
                <c:pt idx="17">
                  <c:v>2198</c:v>
                </c:pt>
                <c:pt idx="18">
                  <c:v>2199</c:v>
                </c:pt>
                <c:pt idx="19">
                  <c:v>2199</c:v>
                </c:pt>
                <c:pt idx="20">
                  <c:v>2199</c:v>
                </c:pt>
                <c:pt idx="21">
                  <c:v>2290</c:v>
                </c:pt>
                <c:pt idx="22">
                  <c:v>2287.5675675675675</c:v>
                </c:pt>
                <c:pt idx="23">
                  <c:v>2285.135135135135</c:v>
                </c:pt>
                <c:pt idx="24">
                  <c:v>2282.7027027027025</c:v>
                </c:pt>
                <c:pt idx="25">
                  <c:v>2280.27027027027</c:v>
                </c:pt>
                <c:pt idx="26">
                  <c:v>2277.8378378378375</c:v>
                </c:pt>
                <c:pt idx="27">
                  <c:v>2275.405405405405</c:v>
                </c:pt>
                <c:pt idx="28">
                  <c:v>2272.9729729729725</c:v>
                </c:pt>
                <c:pt idx="29">
                  <c:v>2270.54054054054</c:v>
                </c:pt>
                <c:pt idx="30">
                  <c:v>2268.1081081081074</c:v>
                </c:pt>
                <c:pt idx="31">
                  <c:v>2265.6756756756749</c:v>
                </c:pt>
                <c:pt idx="32">
                  <c:v>2263.2432432432424</c:v>
                </c:pt>
                <c:pt idx="33">
                  <c:v>2260.8108108108099</c:v>
                </c:pt>
                <c:pt idx="34">
                  <c:v>2258.3783783783774</c:v>
                </c:pt>
                <c:pt idx="35">
                  <c:v>2255.9459459459449</c:v>
                </c:pt>
                <c:pt idx="36">
                  <c:v>2253.5135135135124</c:v>
                </c:pt>
                <c:pt idx="37">
                  <c:v>2251.0810810810799</c:v>
                </c:pt>
                <c:pt idx="38">
                  <c:v>2248.6486486486474</c:v>
                </c:pt>
                <c:pt idx="39">
                  <c:v>2246.2162162162149</c:v>
                </c:pt>
                <c:pt idx="40">
                  <c:v>2243.7837837837824</c:v>
                </c:pt>
                <c:pt idx="41">
                  <c:v>2241.3513513513499</c:v>
                </c:pt>
                <c:pt idx="42">
                  <c:v>2238.9189189189174</c:v>
                </c:pt>
                <c:pt idx="43">
                  <c:v>2236.4864864864849</c:v>
                </c:pt>
                <c:pt idx="44">
                  <c:v>2234.0540540540524</c:v>
                </c:pt>
                <c:pt idx="45">
                  <c:v>2231.6216216216199</c:v>
                </c:pt>
                <c:pt idx="46">
                  <c:v>2229.1891891891873</c:v>
                </c:pt>
                <c:pt idx="47">
                  <c:v>2226.7567567567548</c:v>
                </c:pt>
                <c:pt idx="48">
                  <c:v>2224.3243243243223</c:v>
                </c:pt>
                <c:pt idx="49">
                  <c:v>2221.8918918918898</c:v>
                </c:pt>
                <c:pt idx="50">
                  <c:v>2219.4594594594573</c:v>
                </c:pt>
                <c:pt idx="51">
                  <c:v>2217.0270270270248</c:v>
                </c:pt>
                <c:pt idx="52">
                  <c:v>2214.5945945945923</c:v>
                </c:pt>
                <c:pt idx="53">
                  <c:v>2212.1621621621598</c:v>
                </c:pt>
                <c:pt idx="54">
                  <c:v>2209.7297297297273</c:v>
                </c:pt>
                <c:pt idx="55">
                  <c:v>2207.2972972972948</c:v>
                </c:pt>
                <c:pt idx="56">
                  <c:v>2204.8648648648623</c:v>
                </c:pt>
                <c:pt idx="57">
                  <c:v>2202.4324324324298</c:v>
                </c:pt>
                <c:pt idx="58">
                  <c:v>2150</c:v>
                </c:pt>
                <c:pt idx="59">
                  <c:v>2050</c:v>
                </c:pt>
                <c:pt idx="60">
                  <c:v>1800</c:v>
                </c:pt>
                <c:pt idx="61">
                  <c:v>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39-4D2C-B176-2849B486E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82319"/>
        <c:axId val="250859471"/>
      </c:scatterChart>
      <c:valAx>
        <c:axId val="418482319"/>
        <c:scaling>
          <c:orientation val="minMax"/>
          <c:max val="62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0859471"/>
        <c:crosses val="autoZero"/>
        <c:crossBetween val="midCat"/>
      </c:valAx>
      <c:valAx>
        <c:axId val="250859471"/>
        <c:scaling>
          <c:orientation val="minMax"/>
          <c:max val="24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48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76198</xdr:colOff>
      <xdr:row>1</xdr:row>
      <xdr:rowOff>19051</xdr:rowOff>
    </xdr:from>
    <xdr:to>
      <xdr:col>26</xdr:col>
      <xdr:colOff>91440</xdr:colOff>
      <xdr:row>27</xdr:row>
      <xdr:rowOff>134303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554984-7959-406F-95E1-7C935ECD2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selection activeCell="I65" sqref="I65"/>
    </sheetView>
  </sheetViews>
  <sheetFormatPr defaultRowHeight="14.4" x14ac:dyDescent="0.3"/>
  <cols>
    <col min="2" max="2" width="16.6640625" customWidth="1"/>
    <col min="3" max="3" width="19.88671875" customWidth="1"/>
  </cols>
  <sheetData>
    <row r="1" spans="1:9" x14ac:dyDescent="0.3">
      <c r="B1" s="1" t="s">
        <v>1</v>
      </c>
      <c r="C1" s="1"/>
    </row>
    <row r="2" spans="1:9" x14ac:dyDescent="0.3">
      <c r="B2" t="s">
        <v>0</v>
      </c>
      <c r="C2" t="s">
        <v>2</v>
      </c>
    </row>
    <row r="3" spans="1:9" x14ac:dyDescent="0.3">
      <c r="A3">
        <v>1</v>
      </c>
      <c r="B3">
        <v>400</v>
      </c>
      <c r="C3">
        <v>400</v>
      </c>
      <c r="H3">
        <f>(B3-C3)^2</f>
        <v>0</v>
      </c>
      <c r="I3">
        <f>ABS(B3-C3)/C3*100</f>
        <v>0</v>
      </c>
    </row>
    <row r="4" spans="1:9" x14ac:dyDescent="0.3">
      <c r="A4">
        <v>2</v>
      </c>
      <c r="B4">
        <v>500</v>
      </c>
      <c r="C4">
        <v>399</v>
      </c>
      <c r="H4">
        <f t="shared" ref="H4:H64" si="0">(B4-C4)^2</f>
        <v>10201</v>
      </c>
      <c r="I4">
        <f t="shared" ref="I4:I66" si="1">ABS(B4-C4)/C4*100</f>
        <v>25.313283208020049</v>
      </c>
    </row>
    <row r="5" spans="1:9" x14ac:dyDescent="0.3">
      <c r="A5">
        <v>3</v>
      </c>
      <c r="B5">
        <v>500</v>
      </c>
      <c r="C5">
        <v>399</v>
      </c>
      <c r="H5">
        <f t="shared" si="0"/>
        <v>10201</v>
      </c>
      <c r="I5">
        <f t="shared" si="1"/>
        <v>25.313283208020049</v>
      </c>
    </row>
    <row r="6" spans="1:9" x14ac:dyDescent="0.3">
      <c r="A6">
        <v>4</v>
      </c>
      <c r="B6">
        <v>500</v>
      </c>
      <c r="C6">
        <v>398</v>
      </c>
      <c r="H6">
        <f t="shared" si="0"/>
        <v>10404</v>
      </c>
      <c r="I6">
        <f t="shared" si="1"/>
        <v>25.628140703517587</v>
      </c>
    </row>
    <row r="7" spans="1:9" x14ac:dyDescent="0.3">
      <c r="A7">
        <v>5</v>
      </c>
      <c r="B7">
        <v>500</v>
      </c>
      <c r="C7">
        <v>397</v>
      </c>
      <c r="H7">
        <f t="shared" si="0"/>
        <v>10609</v>
      </c>
      <c r="I7">
        <f t="shared" si="1"/>
        <v>25.94458438287154</v>
      </c>
    </row>
    <row r="8" spans="1:9" x14ac:dyDescent="0.3">
      <c r="A8">
        <v>6</v>
      </c>
      <c r="B8">
        <v>500</v>
      </c>
      <c r="C8">
        <v>396</v>
      </c>
      <c r="H8">
        <f t="shared" si="0"/>
        <v>10816</v>
      </c>
      <c r="I8">
        <f t="shared" si="1"/>
        <v>26.262626262626267</v>
      </c>
    </row>
    <row r="9" spans="1:9" x14ac:dyDescent="0.3">
      <c r="A9">
        <v>7</v>
      </c>
      <c r="B9">
        <v>500</v>
      </c>
      <c r="C9">
        <v>395</v>
      </c>
      <c r="H9">
        <f t="shared" si="0"/>
        <v>11025</v>
      </c>
      <c r="I9">
        <f t="shared" si="1"/>
        <v>26.582278481012654</v>
      </c>
    </row>
    <row r="10" spans="1:9" x14ac:dyDescent="0.3">
      <c r="A10">
        <v>8</v>
      </c>
      <c r="B10">
        <v>500</v>
      </c>
      <c r="C10">
        <v>390</v>
      </c>
      <c r="H10">
        <f t="shared" si="0"/>
        <v>12100</v>
      </c>
      <c r="I10">
        <f t="shared" si="1"/>
        <v>28.205128205128204</v>
      </c>
    </row>
    <row r="11" spans="1:9" x14ac:dyDescent="0.3">
      <c r="A11">
        <v>9</v>
      </c>
      <c r="B11">
        <v>500</v>
      </c>
      <c r="C11">
        <v>300</v>
      </c>
      <c r="H11">
        <f t="shared" si="0"/>
        <v>40000</v>
      </c>
      <c r="I11">
        <f t="shared" si="1"/>
        <v>66.666666666666657</v>
      </c>
    </row>
    <row r="12" spans="1:9" x14ac:dyDescent="0.3">
      <c r="A12">
        <v>10</v>
      </c>
      <c r="B12">
        <v>2100</v>
      </c>
      <c r="C12">
        <v>2190</v>
      </c>
      <c r="H12">
        <f t="shared" si="0"/>
        <v>8100</v>
      </c>
      <c r="I12">
        <f t="shared" si="1"/>
        <v>4.10958904109589</v>
      </c>
    </row>
    <row r="13" spans="1:9" x14ac:dyDescent="0.3">
      <c r="A13">
        <v>11</v>
      </c>
      <c r="B13">
        <v>2100</v>
      </c>
      <c r="C13">
        <v>2191</v>
      </c>
      <c r="H13">
        <f t="shared" si="0"/>
        <v>8281</v>
      </c>
      <c r="I13">
        <f t="shared" si="1"/>
        <v>4.1533546325878596</v>
      </c>
    </row>
    <row r="14" spans="1:9" x14ac:dyDescent="0.3">
      <c r="A14">
        <v>12</v>
      </c>
      <c r="B14">
        <v>2100</v>
      </c>
      <c r="C14">
        <v>2192</v>
      </c>
      <c r="H14">
        <f t="shared" si="0"/>
        <v>8464</v>
      </c>
      <c r="I14">
        <f t="shared" si="1"/>
        <v>4.1970802919708028</v>
      </c>
    </row>
    <row r="15" spans="1:9" x14ac:dyDescent="0.3">
      <c r="A15">
        <v>13</v>
      </c>
      <c r="B15">
        <v>2100</v>
      </c>
      <c r="C15">
        <v>2193</v>
      </c>
      <c r="H15">
        <f t="shared" si="0"/>
        <v>8649</v>
      </c>
      <c r="I15">
        <f t="shared" si="1"/>
        <v>4.2407660738714092</v>
      </c>
    </row>
    <row r="16" spans="1:9" x14ac:dyDescent="0.3">
      <c r="A16">
        <v>14</v>
      </c>
      <c r="B16">
        <v>2100</v>
      </c>
      <c r="C16">
        <v>2194</v>
      </c>
      <c r="H16">
        <f t="shared" si="0"/>
        <v>8836</v>
      </c>
      <c r="I16">
        <f t="shared" si="1"/>
        <v>4.284412032816773</v>
      </c>
    </row>
    <row r="17" spans="1:9" x14ac:dyDescent="0.3">
      <c r="A17">
        <v>15</v>
      </c>
      <c r="B17">
        <v>2100</v>
      </c>
      <c r="C17">
        <v>2195</v>
      </c>
      <c r="H17">
        <f t="shared" si="0"/>
        <v>9025</v>
      </c>
      <c r="I17">
        <f t="shared" si="1"/>
        <v>4.3280182232346238</v>
      </c>
    </row>
    <row r="18" spans="1:9" x14ac:dyDescent="0.3">
      <c r="A18">
        <v>16</v>
      </c>
      <c r="B18">
        <v>2100</v>
      </c>
      <c r="C18">
        <v>2196</v>
      </c>
      <c r="H18">
        <f t="shared" si="0"/>
        <v>9216</v>
      </c>
      <c r="I18">
        <f t="shared" si="1"/>
        <v>4.3715846994535523</v>
      </c>
    </row>
    <row r="19" spans="1:9" x14ac:dyDescent="0.3">
      <c r="A19">
        <v>17</v>
      </c>
      <c r="B19">
        <v>2100</v>
      </c>
      <c r="C19">
        <v>2197</v>
      </c>
      <c r="H19">
        <f t="shared" si="0"/>
        <v>9409</v>
      </c>
      <c r="I19">
        <f t="shared" si="1"/>
        <v>4.4151115157032317</v>
      </c>
    </row>
    <row r="20" spans="1:9" x14ac:dyDescent="0.3">
      <c r="A20">
        <v>18</v>
      </c>
      <c r="B20">
        <v>2100</v>
      </c>
      <c r="C20">
        <v>2198</v>
      </c>
      <c r="H20">
        <f t="shared" si="0"/>
        <v>9604</v>
      </c>
      <c r="I20">
        <f t="shared" si="1"/>
        <v>4.4585987261146496</v>
      </c>
    </row>
    <row r="21" spans="1:9" x14ac:dyDescent="0.3">
      <c r="A21">
        <v>19</v>
      </c>
      <c r="B21">
        <v>2100</v>
      </c>
      <c r="C21">
        <v>2199</v>
      </c>
      <c r="H21">
        <f t="shared" si="0"/>
        <v>9801</v>
      </c>
      <c r="I21">
        <f t="shared" si="1"/>
        <v>4.5020463847203276</v>
      </c>
    </row>
    <row r="22" spans="1:9" x14ac:dyDescent="0.3">
      <c r="A22">
        <v>20</v>
      </c>
      <c r="B22">
        <v>2100</v>
      </c>
      <c r="C22">
        <v>2199</v>
      </c>
      <c r="H22">
        <f t="shared" si="0"/>
        <v>9801</v>
      </c>
      <c r="I22">
        <f t="shared" si="1"/>
        <v>4.5020463847203276</v>
      </c>
    </row>
    <row r="23" spans="1:9" x14ac:dyDescent="0.3">
      <c r="A23">
        <v>21</v>
      </c>
      <c r="B23">
        <v>2100</v>
      </c>
      <c r="C23">
        <v>2199</v>
      </c>
      <c r="H23">
        <f t="shared" si="0"/>
        <v>9801</v>
      </c>
      <c r="I23">
        <f t="shared" si="1"/>
        <v>4.5020463847203276</v>
      </c>
    </row>
    <row r="24" spans="1:9" x14ac:dyDescent="0.3">
      <c r="A24">
        <v>22</v>
      </c>
      <c r="B24">
        <v>2200</v>
      </c>
      <c r="C24">
        <v>2290</v>
      </c>
      <c r="D24">
        <f>A39-A24</f>
        <v>15</v>
      </c>
      <c r="E24">
        <f>B39-B24</f>
        <v>50</v>
      </c>
      <c r="F24">
        <f>E24/D24</f>
        <v>3.3333333333333335</v>
      </c>
      <c r="H24">
        <f t="shared" si="0"/>
        <v>8100</v>
      </c>
      <c r="I24">
        <f t="shared" si="1"/>
        <v>3.9301310043668125</v>
      </c>
    </row>
    <row r="25" spans="1:9" x14ac:dyDescent="0.3">
      <c r="A25">
        <v>23</v>
      </c>
      <c r="B25">
        <v>2200</v>
      </c>
      <c r="C25">
        <v>2287.5675675675675</v>
      </c>
      <c r="H25">
        <f t="shared" si="0"/>
        <v>7668.0788897004986</v>
      </c>
      <c r="I25">
        <f t="shared" si="1"/>
        <v>3.8279773156899779</v>
      </c>
    </row>
    <row r="26" spans="1:9" x14ac:dyDescent="0.3">
      <c r="A26">
        <v>24</v>
      </c>
      <c r="B26">
        <f>B25+$F$24</f>
        <v>2203.3333333333335</v>
      </c>
      <c r="C26">
        <v>2285.135135135135</v>
      </c>
      <c r="H26">
        <f t="shared" si="0"/>
        <v>6691.534778021216</v>
      </c>
      <c r="I26">
        <f t="shared" si="1"/>
        <v>3.5797358564951578</v>
      </c>
    </row>
    <row r="27" spans="1:9" x14ac:dyDescent="0.3">
      <c r="A27">
        <v>25</v>
      </c>
      <c r="B27">
        <f t="shared" ref="B27:B38" si="2">B26+$F$24</f>
        <v>2206.666666666667</v>
      </c>
      <c r="C27">
        <v>2282.7027027027025</v>
      </c>
      <c r="H27">
        <f t="shared" si="0"/>
        <v>5781.4787760732906</v>
      </c>
      <c r="I27">
        <f t="shared" si="1"/>
        <v>3.3309653484884136</v>
      </c>
    </row>
    <row r="28" spans="1:9" x14ac:dyDescent="0.3">
      <c r="A28">
        <v>26</v>
      </c>
      <c r="B28">
        <f t="shared" si="2"/>
        <v>2210.0000000000005</v>
      </c>
      <c r="C28">
        <v>2280.27027027027</v>
      </c>
      <c r="H28">
        <f t="shared" si="0"/>
        <v>4937.9108838567245</v>
      </c>
      <c r="I28">
        <f t="shared" si="1"/>
        <v>3.0816640986132184</v>
      </c>
    </row>
    <row r="29" spans="1:9" x14ac:dyDescent="0.3">
      <c r="A29">
        <v>27</v>
      </c>
      <c r="B29">
        <f t="shared" si="2"/>
        <v>2213.3333333333339</v>
      </c>
      <c r="C29">
        <v>2277.8378378378375</v>
      </c>
      <c r="H29">
        <f t="shared" si="0"/>
        <v>4160.8311013715165</v>
      </c>
      <c r="I29">
        <f t="shared" si="1"/>
        <v>2.831830406581195</v>
      </c>
    </row>
    <row r="30" spans="1:9" x14ac:dyDescent="0.3">
      <c r="A30">
        <v>28</v>
      </c>
      <c r="B30">
        <f t="shared" si="2"/>
        <v>2216.6666666666674</v>
      </c>
      <c r="C30">
        <v>2275.405405405405</v>
      </c>
      <c r="H30">
        <f t="shared" si="0"/>
        <v>3450.2394286176659</v>
      </c>
      <c r="I30">
        <f t="shared" si="1"/>
        <v>2.5814625648334593</v>
      </c>
    </row>
    <row r="31" spans="1:9" x14ac:dyDescent="0.3">
      <c r="A31">
        <v>29</v>
      </c>
      <c r="B31">
        <f t="shared" si="2"/>
        <v>2220.0000000000009</v>
      </c>
      <c r="C31">
        <v>2272.9729729729725</v>
      </c>
      <c r="H31">
        <f t="shared" si="0"/>
        <v>2806.135865595174</v>
      </c>
      <c r="I31">
        <f t="shared" si="1"/>
        <v>2.3305588585017212</v>
      </c>
    </row>
    <row r="32" spans="1:9" x14ac:dyDescent="0.3">
      <c r="A32">
        <v>30</v>
      </c>
      <c r="B32">
        <f t="shared" si="2"/>
        <v>2223.3333333333344</v>
      </c>
      <c r="C32">
        <v>2270.54054054054</v>
      </c>
      <c r="H32">
        <f t="shared" si="0"/>
        <v>2228.5204123040403</v>
      </c>
      <c r="I32">
        <f t="shared" si="1"/>
        <v>2.0791175653691298</v>
      </c>
    </row>
    <row r="33" spans="1:9" x14ac:dyDescent="0.3">
      <c r="A33">
        <v>31</v>
      </c>
      <c r="B33">
        <f t="shared" si="2"/>
        <v>2226.6666666666679</v>
      </c>
      <c r="C33">
        <v>2268.1081081081074</v>
      </c>
      <c r="H33">
        <f t="shared" si="0"/>
        <v>1717.3930687442646</v>
      </c>
      <c r="I33">
        <f t="shared" si="1"/>
        <v>1.8271369558308679</v>
      </c>
    </row>
    <row r="34" spans="1:9" x14ac:dyDescent="0.3">
      <c r="A34">
        <v>32</v>
      </c>
      <c r="B34">
        <f t="shared" si="2"/>
        <v>2230.0000000000014</v>
      </c>
      <c r="C34">
        <v>2265.6756756756749</v>
      </c>
      <c r="H34">
        <f t="shared" si="0"/>
        <v>1272.7538349158472</v>
      </c>
      <c r="I34">
        <f t="shared" si="1"/>
        <v>1.5746152928544945</v>
      </c>
    </row>
    <row r="35" spans="1:9" x14ac:dyDescent="0.3">
      <c r="A35">
        <v>33</v>
      </c>
      <c r="B35">
        <f t="shared" si="2"/>
        <v>2233.3333333333348</v>
      </c>
      <c r="C35">
        <v>2263.2432432432424</v>
      </c>
      <c r="H35">
        <f t="shared" si="0"/>
        <v>894.60271081878784</v>
      </c>
      <c r="I35">
        <f t="shared" si="1"/>
        <v>1.32155083194003</v>
      </c>
    </row>
    <row r="36" spans="1:9" x14ac:dyDescent="0.3">
      <c r="A36">
        <v>34</v>
      </c>
      <c r="B36">
        <f t="shared" si="2"/>
        <v>2236.6666666666683</v>
      </c>
      <c r="C36">
        <v>2260.8108108108099</v>
      </c>
      <c r="H36">
        <f t="shared" si="0"/>
        <v>582.93969645308675</v>
      </c>
      <c r="I36">
        <f t="shared" si="1"/>
        <v>1.067941821079784</v>
      </c>
    </row>
    <row r="37" spans="1:9" x14ac:dyDescent="0.3">
      <c r="A37">
        <v>35</v>
      </c>
      <c r="B37">
        <f t="shared" si="2"/>
        <v>2240.0000000000018</v>
      </c>
      <c r="C37">
        <v>2258.3783783783774</v>
      </c>
      <c r="H37">
        <f t="shared" si="0"/>
        <v>337.76479181874379</v>
      </c>
      <c r="I37">
        <f t="shared" si="1"/>
        <v>0.81378650071792424</v>
      </c>
    </row>
    <row r="38" spans="1:9" x14ac:dyDescent="0.3">
      <c r="A38">
        <v>36</v>
      </c>
      <c r="B38">
        <f t="shared" si="2"/>
        <v>2243.3333333333353</v>
      </c>
      <c r="C38">
        <v>2255.9459459459449</v>
      </c>
      <c r="H38">
        <f t="shared" si="0"/>
        <v>159.077996915759</v>
      </c>
      <c r="I38">
        <f t="shared" si="1"/>
        <v>0.55908310370978287</v>
      </c>
    </row>
    <row r="39" spans="1:9" x14ac:dyDescent="0.3">
      <c r="A39">
        <v>37</v>
      </c>
      <c r="B39">
        <v>2250</v>
      </c>
      <c r="C39">
        <v>2253.5135135135124</v>
      </c>
      <c r="E39">
        <f>A57-A39</f>
        <v>18</v>
      </c>
      <c r="F39">
        <f>B57-B39</f>
        <v>5</v>
      </c>
      <c r="G39">
        <f>F39/E39</f>
        <v>0.27777777777777779</v>
      </c>
      <c r="H39">
        <f t="shared" si="0"/>
        <v>12.344777209634302</v>
      </c>
      <c r="I39">
        <f t="shared" si="1"/>
        <v>0.15591268889417023</v>
      </c>
    </row>
    <row r="40" spans="1:9" x14ac:dyDescent="0.3">
      <c r="A40">
        <v>38</v>
      </c>
      <c r="B40">
        <f>B39+$G$39</f>
        <v>2250.2777777777778</v>
      </c>
      <c r="C40">
        <v>2251.0810810810799</v>
      </c>
      <c r="H40">
        <f t="shared" si="0"/>
        <v>0.64529619709602215</v>
      </c>
      <c r="I40">
        <f t="shared" si="1"/>
        <v>3.5685222982562992E-2</v>
      </c>
    </row>
    <row r="41" spans="1:9" x14ac:dyDescent="0.3">
      <c r="A41">
        <v>39</v>
      </c>
      <c r="B41">
        <f t="shared" ref="B41:B56" si="3">B40+$G$39</f>
        <v>2250.5555555555557</v>
      </c>
      <c r="C41">
        <v>2248.6486486486474</v>
      </c>
      <c r="H41">
        <f t="shared" si="0"/>
        <v>3.6362939516144333</v>
      </c>
      <c r="I41">
        <f t="shared" si="1"/>
        <v>8.4802350427410716E-2</v>
      </c>
    </row>
    <row r="42" spans="1:9" x14ac:dyDescent="0.3">
      <c r="A42">
        <v>40</v>
      </c>
      <c r="B42">
        <f t="shared" si="3"/>
        <v>2250.8333333333335</v>
      </c>
      <c r="C42">
        <v>2246.2162162162149</v>
      </c>
      <c r="H42">
        <f t="shared" si="0"/>
        <v>21.317770473189537</v>
      </c>
      <c r="I42">
        <f t="shared" si="1"/>
        <v>0.20555087634868024</v>
      </c>
    </row>
    <row r="43" spans="1:9" x14ac:dyDescent="0.3">
      <c r="A43">
        <v>41</v>
      </c>
      <c r="B43">
        <f t="shared" si="3"/>
        <v>2251.1111111111113</v>
      </c>
      <c r="C43">
        <v>2243.7837837837824</v>
      </c>
      <c r="H43">
        <f t="shared" si="0"/>
        <v>53.689725761821329</v>
      </c>
      <c r="I43">
        <f t="shared" si="1"/>
        <v>0.32656120345840833</v>
      </c>
    </row>
    <row r="44" spans="1:9" x14ac:dyDescent="0.3">
      <c r="A44">
        <v>42</v>
      </c>
      <c r="B44">
        <f t="shared" si="3"/>
        <v>2251.3888888888891</v>
      </c>
      <c r="C44">
        <v>2241.3513513513499</v>
      </c>
      <c r="H44">
        <f t="shared" si="0"/>
        <v>100.75215981750981</v>
      </c>
      <c r="I44">
        <f t="shared" si="1"/>
        <v>0.44783418411787412</v>
      </c>
    </row>
    <row r="45" spans="1:9" x14ac:dyDescent="0.3">
      <c r="A45">
        <v>43</v>
      </c>
      <c r="B45">
        <f t="shared" si="3"/>
        <v>2251.666666666667</v>
      </c>
      <c r="C45">
        <v>2238.9189189189174</v>
      </c>
      <c r="H45">
        <f t="shared" si="0"/>
        <v>162.50507264025498</v>
      </c>
      <c r="I45">
        <f t="shared" si="1"/>
        <v>0.56937067439248612</v>
      </c>
    </row>
    <row r="46" spans="1:9" x14ac:dyDescent="0.3">
      <c r="A46">
        <v>44</v>
      </c>
      <c r="B46">
        <f t="shared" si="3"/>
        <v>2251.9444444444448</v>
      </c>
      <c r="C46">
        <v>2236.4864864864849</v>
      </c>
      <c r="H46">
        <f t="shared" si="0"/>
        <v>238.94846423005686</v>
      </c>
      <c r="I46">
        <f t="shared" si="1"/>
        <v>0.691171534071925</v>
      </c>
    </row>
    <row r="47" spans="1:9" x14ac:dyDescent="0.3">
      <c r="A47">
        <v>45</v>
      </c>
      <c r="B47">
        <f t="shared" si="3"/>
        <v>2252.2222222222226</v>
      </c>
      <c r="C47">
        <v>2234.0540540540524</v>
      </c>
      <c r="H47">
        <f t="shared" si="0"/>
        <v>330.08233458691541</v>
      </c>
      <c r="I47">
        <f t="shared" si="1"/>
        <v>0.81323762669041921</v>
      </c>
    </row>
    <row r="48" spans="1:9" x14ac:dyDescent="0.3">
      <c r="A48">
        <v>46</v>
      </c>
      <c r="B48">
        <f t="shared" si="3"/>
        <v>2252.5000000000005</v>
      </c>
      <c r="C48">
        <v>2231.6216216216199</v>
      </c>
      <c r="H48">
        <f t="shared" si="0"/>
        <v>435.90668371083063</v>
      </c>
      <c r="I48">
        <f t="shared" si="1"/>
        <v>0.93556981954715146</v>
      </c>
    </row>
    <row r="49" spans="1:9" x14ac:dyDescent="0.3">
      <c r="A49">
        <v>47</v>
      </c>
      <c r="B49">
        <f t="shared" si="3"/>
        <v>2252.7777777777783</v>
      </c>
      <c r="C49">
        <v>2229.1891891891873</v>
      </c>
      <c r="H49">
        <f t="shared" si="0"/>
        <v>556.42151160180265</v>
      </c>
      <c r="I49">
        <f t="shared" si="1"/>
        <v>1.0581689837268011</v>
      </c>
    </row>
    <row r="50" spans="1:9" x14ac:dyDescent="0.3">
      <c r="A50">
        <v>48</v>
      </c>
      <c r="B50">
        <f t="shared" si="3"/>
        <v>2253.0555555555561</v>
      </c>
      <c r="C50">
        <v>2226.7567567567548</v>
      </c>
      <c r="H50">
        <f t="shared" si="0"/>
        <v>691.62681825983123</v>
      </c>
      <c r="I50">
        <f t="shared" si="1"/>
        <v>1.1810359941202184</v>
      </c>
    </row>
    <row r="51" spans="1:9" x14ac:dyDescent="0.3">
      <c r="A51">
        <v>49</v>
      </c>
      <c r="B51">
        <f t="shared" si="3"/>
        <v>2253.3333333333339</v>
      </c>
      <c r="C51">
        <v>2224.3243243243223</v>
      </c>
      <c r="H51">
        <f t="shared" si="0"/>
        <v>841.52260368491659</v>
      </c>
      <c r="I51">
        <f t="shared" si="1"/>
        <v>1.3041717294452373</v>
      </c>
    </row>
    <row r="52" spans="1:9" x14ac:dyDescent="0.3">
      <c r="A52">
        <v>50</v>
      </c>
      <c r="B52">
        <f t="shared" si="3"/>
        <v>2253.6111111111118</v>
      </c>
      <c r="C52">
        <v>2221.8918918918898</v>
      </c>
      <c r="H52">
        <f t="shared" si="0"/>
        <v>1006.1088678770585</v>
      </c>
      <c r="I52">
        <f t="shared" si="1"/>
        <v>1.4275770722676229</v>
      </c>
    </row>
    <row r="53" spans="1:9" x14ac:dyDescent="0.3">
      <c r="A53">
        <v>51</v>
      </c>
      <c r="B53">
        <f t="shared" si="3"/>
        <v>2253.8888888888896</v>
      </c>
      <c r="C53">
        <v>2219.4594594594573</v>
      </c>
      <c r="H53">
        <f t="shared" si="0"/>
        <v>1185.3856108362572</v>
      </c>
      <c r="I53">
        <f t="shared" si="1"/>
        <v>1.551252909022157</v>
      </c>
    </row>
    <row r="54" spans="1:9" x14ac:dyDescent="0.3">
      <c r="A54">
        <v>52</v>
      </c>
      <c r="B54">
        <f t="shared" si="3"/>
        <v>2254.1666666666674</v>
      </c>
      <c r="C54">
        <v>2217.0270270270248</v>
      </c>
      <c r="H54">
        <f t="shared" si="0"/>
        <v>1379.3528325625127</v>
      </c>
      <c r="I54">
        <f t="shared" si="1"/>
        <v>1.675200130033863</v>
      </c>
    </row>
    <row r="55" spans="1:9" x14ac:dyDescent="0.3">
      <c r="A55">
        <v>53</v>
      </c>
      <c r="B55">
        <f t="shared" si="3"/>
        <v>2254.4444444444453</v>
      </c>
      <c r="C55">
        <v>2214.5945945945923</v>
      </c>
      <c r="H55">
        <f t="shared" si="0"/>
        <v>1588.0105330558247</v>
      </c>
      <c r="I55">
        <f t="shared" si="1"/>
        <v>1.799419629539371</v>
      </c>
    </row>
    <row r="56" spans="1:9" x14ac:dyDescent="0.3">
      <c r="A56">
        <v>54</v>
      </c>
      <c r="B56">
        <f t="shared" si="3"/>
        <v>2254.7222222222231</v>
      </c>
      <c r="C56">
        <v>2212.1621621621598</v>
      </c>
      <c r="H56">
        <f t="shared" si="0"/>
        <v>1811.3587123161935</v>
      </c>
      <c r="I56">
        <f t="shared" si="1"/>
        <v>1.9239123057084215</v>
      </c>
    </row>
    <row r="57" spans="1:9" x14ac:dyDescent="0.3">
      <c r="A57">
        <v>55</v>
      </c>
      <c r="B57">
        <v>2255</v>
      </c>
      <c r="C57">
        <v>2209.7297297297273</v>
      </c>
      <c r="H57">
        <f t="shared" si="0"/>
        <v>2049.3973703435367</v>
      </c>
      <c r="I57">
        <f t="shared" si="1"/>
        <v>2.0486790606654743</v>
      </c>
    </row>
    <row r="58" spans="1:9" x14ac:dyDescent="0.3">
      <c r="A58">
        <v>56</v>
      </c>
      <c r="B58">
        <v>2250</v>
      </c>
      <c r="C58">
        <v>2207.2972972972948</v>
      </c>
      <c r="H58">
        <f t="shared" si="0"/>
        <v>1823.5208181156268</v>
      </c>
      <c r="I58">
        <f t="shared" si="1"/>
        <v>1.9346149136771085</v>
      </c>
    </row>
    <row r="59" spans="1:9" x14ac:dyDescent="0.3">
      <c r="A59">
        <v>57</v>
      </c>
      <c r="B59">
        <v>2248</v>
      </c>
      <c r="C59">
        <v>2204.8648648648623</v>
      </c>
      <c r="H59">
        <f t="shared" si="0"/>
        <v>1860.6398831265922</v>
      </c>
      <c r="I59">
        <f t="shared" si="1"/>
        <v>1.9563618533955593</v>
      </c>
    </row>
    <row r="60" spans="1:9" x14ac:dyDescent="0.3">
      <c r="A60">
        <v>58</v>
      </c>
      <c r="B60">
        <v>2240</v>
      </c>
      <c r="C60">
        <v>2202.4324324324298</v>
      </c>
      <c r="H60">
        <f t="shared" si="0"/>
        <v>1411.3221329439541</v>
      </c>
      <c r="I60">
        <f t="shared" si="1"/>
        <v>1.7057307645111055</v>
      </c>
    </row>
    <row r="61" spans="1:9" x14ac:dyDescent="0.3">
      <c r="A61">
        <v>59</v>
      </c>
      <c r="B61">
        <v>2220</v>
      </c>
      <c r="C61">
        <v>2150</v>
      </c>
      <c r="H61">
        <f t="shared" si="0"/>
        <v>4900</v>
      </c>
      <c r="I61">
        <f t="shared" si="1"/>
        <v>3.2558139534883721</v>
      </c>
    </row>
    <row r="62" spans="1:9" x14ac:dyDescent="0.3">
      <c r="A62">
        <v>60</v>
      </c>
      <c r="B62">
        <v>2150</v>
      </c>
      <c r="C62">
        <v>2050</v>
      </c>
      <c r="H62">
        <f t="shared" si="0"/>
        <v>10000</v>
      </c>
      <c r="I62">
        <f t="shared" si="1"/>
        <v>4.8780487804878048</v>
      </c>
    </row>
    <row r="63" spans="1:9" x14ac:dyDescent="0.3">
      <c r="A63">
        <v>61</v>
      </c>
      <c r="B63">
        <v>1800</v>
      </c>
      <c r="C63">
        <v>1800</v>
      </c>
      <c r="H63">
        <f t="shared" si="0"/>
        <v>0</v>
      </c>
      <c r="I63">
        <f t="shared" si="1"/>
        <v>0</v>
      </c>
    </row>
    <row r="64" spans="1:9" x14ac:dyDescent="0.3">
      <c r="A64">
        <v>62</v>
      </c>
      <c r="B64">
        <v>400</v>
      </c>
      <c r="C64">
        <v>400</v>
      </c>
      <c r="H64">
        <f t="shared" si="0"/>
        <v>0</v>
      </c>
      <c r="I64">
        <f t="shared" si="1"/>
        <v>0</v>
      </c>
    </row>
    <row r="65" spans="7:9" x14ac:dyDescent="0.3">
      <c r="H65">
        <f>SUM(H3:H64)</f>
        <v>307596.75850850972</v>
      </c>
      <c r="I65" s="2">
        <f>AVERAGE(I3:I64)</f>
        <v>5.9465143112091097</v>
      </c>
    </row>
    <row r="66" spans="7:9" x14ac:dyDescent="0.3">
      <c r="G66" t="s">
        <v>3</v>
      </c>
      <c r="H66">
        <f>(H65/A64)^0.5</f>
        <v>70.436056394859548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2021-10-24T11:18:05Z</dcterms:modified>
</cp:coreProperties>
</file>